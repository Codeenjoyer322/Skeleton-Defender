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26b0727ca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91777014302f4357"/>
    <x:sheet xmlns:r="http://schemas.openxmlformats.org/officeDocument/2006/relationships" name="Герои" sheetId="2" r:id="R77610574cb3c4b1d"/>
    <x:sheet xmlns:r="http://schemas.openxmlformats.org/officeDocument/2006/relationships" name="Враги" sheetId="3" r:id="R70efcf974a404abb"/>
    <x:sheet xmlns:r="http://schemas.openxmlformats.org/officeDocument/2006/relationships" name="Волны" sheetId="4" r:id="R674229871a9b4e09"/>
    <x:sheet xmlns:r="http://schemas.openxmlformats.org/officeDocument/2006/relationships" name="Выход врагов" sheetId="5" r:id="R4286ecddcbdb4395"/>
    <x:sheet xmlns:r="http://schemas.openxmlformats.org/officeDocument/2006/relationships" name="Башни" sheetId="6" r:id="Re9574001c9a74c58"/>
    <x:sheet xmlns:r="http://schemas.openxmlformats.org/officeDocument/2006/relationships" name="Добыча" sheetId="7" r:id="Rf70376a3120e4b90"/>
    <x:sheet xmlns:r="http://schemas.openxmlformats.org/officeDocument/2006/relationships" name="Экипировка" sheetId="8" r:id="R2cdf92b85a7a4b80"/>
    <x:sheet xmlns:r="http://schemas.openxmlformats.org/officeDocument/2006/relationships" name="Навыки" sheetId="9" r:id="R7e3e0b67fc284efd"/>
    <x:sheet xmlns:r="http://schemas.openxmlformats.org/officeDocument/2006/relationships" name="Артефакты" sheetId="10" r:id="R2abe9155e0d9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0.00"/>
    <x:numFmt numFmtId="201" formatCode="0"/>
    <x:numFmt numFmtId="202" formatCode="0.0"/>
    <x:numFmt numFmtId="203" formatCode="0%"/>
    <x:numFmt numFmtId="204" formatCode="#,##0"/>
    <x:numFmt numFmtId="205" formatCode="0.0%"/>
    <x:numFmt numFmtId="206" formatCode="0.000%"/>
    <x:numFmt numFmtId="207" formatCode="0;-0;&quot;—&quot;"/>
    <x:numFmt numFmtId="208" formatCode="[m]:ss"/>
    <x:numFmt numFmtId="209" formatCode="0.000000"/>
    <x:numFmt numFmtId="210" formatCode="0.0000"/>
    <x:numFmt numFmtId="211" formatCode="0.000"/>
    <x:numFmt numFmtId="212" formatCode="0.000000000"/>
    <x:numFmt numFmtId="213" formatCode="0.00%"/>
    <x:numFmt numFmtId="214" formatCode="0.##"/>
    <x:numFmt numFmtId="215" formatCode="0.###"/>
    <x:numFmt numFmtId="216" formatCode="0.0000%"/>
  </x:numFmts>
  <x:fonts count="11">
    <x:font>
      <x:sz val="11"/>
      <x:name val="Carlito"/>
    </x:font>
    <x:font>
      <x:sz val="11"/>
      <x:color rgb="FF203936"/>
      <x:name val="Arial"/>
    </x:font>
    <x:font>
      <x:b/>
      <x:sz val="20"/>
      <x:color rgb="FF203936"/>
      <x:name val="Arial"/>
    </x:font>
    <x:font>
      <x:i/>
      <x:sz val="10"/>
      <x:color rgb="FF637570"/>
      <x:name val="Arial"/>
    </x:font>
    <x:font>
      <x:b/>
      <x:sz val="11"/>
      <x:color rgb="FFFFFFFF"/>
      <x:name val="Arial"/>
    </x:font>
    <x:font>
      <x:b/>
      <x:sz val="12"/>
      <x:color rgb="FF214F4A"/>
      <x:name val="Arial"/>
    </x:font>
    <x:font>
      <x:sz val="10"/>
      <x:color rgb="FF637570"/>
      <x:name val="Arial"/>
    </x:font>
    <x:font>
      <x:b/>
      <x:sz val="11"/>
      <x:color rgb="FF203936"/>
      <x:name val="Arial"/>
    </x:font>
    <x:font>
      <x:sz val="10"/>
      <x:color rgb="FF203936"/>
      <x:name val="Arial"/>
    </x:font>
    <x:font>
      <x:sz val="11"/>
      <x:color rgb="FF637570"/>
      <x:name val="Arial"/>
    </x:font>
    <x:font>
      <x:b/>
      <x:sz val="11"/>
      <x:color rgb="FF214F4A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214F4A"/>
      </x:patternFill>
    </x:fill>
    <x:fill>
      <x:patternFill patternType="solid">
        <x:fgColor rgb="FFFFFFFF"/>
      </x:patternFill>
    </x:fill>
    <x:fill>
      <x:patternFill patternType="solid">
        <x:fgColor rgb="FFF4F7F5"/>
      </x:patternFill>
    </x:fill>
    <x:fill>
      <x:patternFill patternType="solid">
        <x:fgColor rgb="FFFFF3D5"/>
      </x:patternFill>
    </x:fill>
    <x:fill>
      <x:patternFill patternType="solid">
        <x:fgColor rgb="FFECF5F1"/>
      </x:patternFill>
    </x:fill>
    <x:fill>
      <x:patternFill patternType="solid">
        <x:fgColor rgb="FFE5EEEA"/>
      </x:patternFill>
    </x:fill>
    <x:fill>
      <x:patternFill patternType="solid">
        <x:fgColor rgb="FF214F4A"/>
      </x:patternFill>
    </x:fill>
    <x:fill>
      <x:patternFill patternType="solid">
        <x:fgColor rgb="FFFFFFFF"/>
      </x:patternFill>
    </x:fill>
    <x:fill>
      <x:patternFill patternType="solid">
        <x:fgColor rgb="FFF4F7F5"/>
      </x:patternFill>
    </x:fill>
    <x:fill>
      <x:patternFill patternType="solid">
        <x:fgColor rgb="FFFFF3D5"/>
      </x:patternFill>
    </x:fill>
    <x:fill>
      <x:patternFill patternType="solid">
        <x:fgColor rgb="FFECF5F1"/>
      </x:patternFill>
    </x:fill>
    <x:fill>
      <x:patternFill patternType="solid">
        <x:fgColor rgb="FFE5EEEA"/>
      </x:patternFill>
    </x:fill>
    <x:fill>
      <x:patternFill patternType="solid">
        <x:fgColor rgb="FFFFF3D5"/>
      </x:patternFill>
    </x:fill>
    <x:fill>
      <x:patternFill patternType="solid">
        <x:fgColor rgb="FF214F4A"/>
      </x:patternFill>
    </x:fill>
    <x:fill>
      <x:patternFill patternType="solid">
        <x:fgColor rgb="FFECF5F1"/>
      </x:patternFill>
    </x:fill>
    <x:fill>
      <x:patternFill patternType="solid">
        <x:fgColor rgb="FFE5EEEA"/>
      </x:patternFill>
    </x:fill>
    <x:fill>
      <x:patternFill patternType="solid">
        <x:fgColor rgb="FFFFF3D5"/>
      </x:patternFill>
    </x:fill>
    <x:fill>
      <x:patternFill patternType="solid">
        <x:fgColor rgb="FF214F4A"/>
      </x:patternFill>
    </x:fill>
    <x:fill>
      <x:patternFill patternType="solid">
        <x:fgColor rgb="FFECF5F1"/>
      </x:patternFill>
    </x:fill>
    <x:fill>
      <x:patternFill patternType="solid">
        <x:fgColor rgb="FFE5EEEA"/>
      </x:patternFill>
    </x:fill>
    <x:fill>
      <x:patternFill patternType="solid">
        <x:fgColor rgb="FF214F4A"/>
      </x:patternFill>
    </x:fill>
    <x:fill>
      <x:patternFill patternType="solid">
        <x:fgColor rgb="FFFFFFFF"/>
      </x:patternFill>
    </x:fill>
    <x:fill>
      <x:patternFill patternType="solid">
        <x:fgColor rgb="FFFFF3D5"/>
      </x:patternFill>
    </x:fill>
    <x:fill>
      <x:patternFill patternType="solid">
        <x:fgColor rgb="FFF4F7F5"/>
      </x:patternFill>
    </x:fill>
    <x:fill>
      <x:patternFill patternType="solid">
        <x:fgColor rgb="FFECF5F1"/>
      </x:patternFill>
    </x:fill>
    <x:fill>
      <x:patternFill patternType="solid">
        <x:fgColor rgb="FFE5EEEA"/>
      </x:patternFill>
    </x:fill>
    <x:fill>
      <x:patternFill patternType="solid">
        <x:fgColor rgb="FF214F4A"/>
      </x:patternFill>
    </x:fill>
    <x:fill>
      <x:patternFill patternType="solid">
        <x:fgColor rgb="FFFFFFFF"/>
      </x:patternFill>
    </x:fill>
    <x:fill>
      <x:patternFill patternType="solid">
        <x:fgColor rgb="FFFFF3D5"/>
      </x:patternFill>
    </x:fill>
    <x:fill>
      <x:patternFill patternType="solid">
        <x:fgColor rgb="FFF4F7F5"/>
      </x:patternFill>
    </x:fill>
    <x:fill>
      <x:patternFill patternType="solid">
        <x:fgColor rgb="FFECF5F1"/>
      </x:patternFill>
    </x:fill>
    <x:fill>
      <x:patternFill patternType="solid">
        <x:fgColor rgb="FFFFF3D5"/>
      </x:patternFill>
    </x:fill>
    <x:fill>
      <x:patternFill patternType="solid">
        <x:fgColor rgb="FFE5EEEA"/>
      </x:patternFill>
    </x:fill>
    <x:fill>
      <x:patternFill patternType="solid">
        <x:fgColor rgb="FFECF5F1"/>
      </x:patternFill>
    </x:fill>
    <x:fill>
      <x:patternFill patternType="solid">
        <x:fgColor rgb="FFFFF3D5"/>
      </x:patternFill>
    </x:fill>
    <x:fill>
      <x:patternFill patternType="solid">
        <x:fgColor rgb="FFE5EEEA"/>
      </x:patternFill>
    </x:fill>
    <x:fill>
      <x:patternFill patternType="solid">
        <x:fgColor rgb="FFECF5F1"/>
      </x:patternFill>
    </x:fill>
    <x:fill>
      <x:patternFill patternType="solid">
        <x:fgColor rgb="FFFFF3D5"/>
      </x:patternFill>
    </x:fill>
    <x:fill>
      <x:patternFill patternType="solid">
        <x:fgColor rgb="FFE5EEEA"/>
      </x:patternFill>
    </x:fill>
    <x:fill>
      <x:patternFill patternType="solid">
        <x:fgColor rgb="FFECF5F1"/>
      </x:patternFill>
    </x:fill>
  </x:fills>
  <x:borders count="7">
    <x:border/>
    <x:border>
      <x:bottom style="thin">
        <x:color rgb="FFB58B3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9EEEA"/>
      </x:bottom>
    </x:border>
    <x:border>
      <x:top style="thin">
        <x:color rgb="FF214F4A"/>
      </x:top>
    </x:border>
  </x:borders>
  <x:cellStyleXfs count="1">
    <x:xf numFmtId="0" fontId="0" fillId="0" borderId="0"/>
  </x:cellStyleXfs>
  <x:cellXfs count="28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  <x:xf numFmtId="200" fontId="1" fillId="6" borderId="5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vertical="center"/>
    </x:xf>
    <x:xf numFmtId="202" fontId="1" fillId="5" borderId="5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204" fontId="1" fillId="3" borderId="5" xfId="0" applyNumberFormat="1" applyFont="1" applyFill="1" applyBorder="1" applyAlignment="1">
      <x:alignment vertical="center"/>
    </x:xf>
    <x:xf numFmtId="204" fontId="1" fillId="5" borderId="5" xfId="0" applyNumberFormat="1" applyFont="1" applyFill="1" applyBorder="1" applyAlignment="1">
      <x:alignment vertical="center"/>
    </x:xf>
    <x:xf numFmtId="204" fontId="1" fillId="6" borderId="5" xfId="0" applyNumberFormat="1" applyFont="1" applyFill="1" applyBorder="1" applyAlignment="1">
      <x:alignment vertical="center"/>
    </x:xf>
    <x:xf numFmtId="204" fontId="1" fillId="4" borderId="5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/>
    </x:xf>
    <x:xf numFmtId="205" fontId="1" fillId="6" borderId="5" xfId="0" applyNumberFormat="1" applyFont="1" applyFill="1" applyBorder="1" applyAlignment="1">
      <x:alignment vertical="center"/>
    </x:xf>
    <x:xf numFmtId="206" fontId="1" fillId="5" borderId="5" xfId="0" applyNumberFormat="1" applyFont="1" applyFill="1" applyBorder="1" applyAlignment="1">
      <x:alignment vertical="center"/>
    </x:xf>
    <x:xf numFmtId="206" fontId="1" fillId="6" borderId="5" xfId="0" applyNumberFormat="1" applyFont="1" applyFill="1" applyBorder="1" applyAlignment="1">
      <x:alignment vertical="center"/>
    </x:xf>
    <x:xf numFmtId="206" fontId="1" fillId="4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204" fontId="7" fillId="6" borderId="6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/>
    </x:xf>
    <x:xf numFmtId="0" fontId="4" fillId="8" borderId="3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5" xfId="0" applyNumberFormat="1" applyFont="1" applyFill="1" applyBorder="1" applyAlignment="1">
      <x:alignment vertical="center"/>
    </x:xf>
    <x:xf numFmtId="0" fontId="1" fillId="11" borderId="5" xfId="0" applyNumberFormat="1" applyFont="1" applyFill="1" applyBorder="1" applyAlignment="1">
      <x:alignment vertical="center"/>
    </x:xf>
    <x:xf numFmtId="0" fontId="1" fillId="12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 wrapText="1"/>
    </x:xf>
    <x:xf numFmtId="0" fontId="1" fillId="11" borderId="5" xfId="0" applyNumberFormat="1" applyFont="1" applyFill="1" applyBorder="1" applyAlignment="1">
      <x:alignment vertical="center" wrapText="1"/>
    </x:xf>
    <x:xf numFmtId="0" fontId="1" fillId="12" borderId="5" xfId="0" applyNumberFormat="1" applyFont="1" applyFill="1" applyBorder="1" applyAlignment="1">
      <x:alignment vertical="center" wrapText="1"/>
    </x:xf>
    <x:xf numFmtId="0" fontId="1" fillId="10" borderId="5" xfId="0" applyNumberFormat="1" applyFont="1" applyFill="1" applyBorder="1" applyAlignment="1">
      <x:alignment vertical="center" wrapText="1"/>
    </x:xf>
    <x:xf numFmtId="201" fontId="1" fillId="11" borderId="5" xfId="0" applyNumberFormat="1" applyFont="1" applyFill="1" applyBorder="1" applyAlignment="1">
      <x:alignment vertical="center" wrapText="1"/>
    </x:xf>
    <x:xf numFmtId="200" fontId="1" fillId="11" borderId="5" xfId="0" applyNumberFormat="1" applyFont="1" applyFill="1" applyBorder="1" applyAlignment="1">
      <x:alignment vertical="center" wrapText="1"/>
    </x:xf>
    <x:xf numFmtId="200" fontId="1" fillId="12" borderId="5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203" fontId="1" fillId="11" borderId="5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201" fontId="1" fillId="12" borderId="5" xfId="0" applyNumberFormat="1" applyFont="1" applyFill="1" applyBorder="1" applyAlignment="1">
      <x:alignment vertical="center" wrapText="1"/>
    </x:xf>
    <x:xf numFmtId="203" fontId="1" fillId="12" borderId="5" xfId="0" applyNumberFormat="1" applyFont="1" applyFill="1" applyBorder="1" applyAlignment="1">
      <x:alignment vertical="center" wrapText="1"/>
    </x:xf>
    <x:xf numFmtId="207" fontId="1" fillId="11" borderId="5" xfId="0" applyNumberFormat="1" applyFont="1" applyFill="1" applyBorder="1" applyAlignment="1">
      <x:alignment vertical="center"/>
    </x:xf>
    <x:xf numFmtId="204" fontId="1" fillId="9" borderId="5" xfId="0" applyNumberFormat="1" applyFont="1" applyFill="1" applyBorder="1" applyAlignment="1">
      <x:alignment vertical="center"/>
    </x:xf>
    <x:xf numFmtId="204" fontId="1" fillId="10" borderId="5" xfId="0" applyNumberFormat="1" applyFont="1" applyFill="1" applyBorder="1" applyAlignment="1">
      <x:alignment vertical="center"/>
    </x:xf>
    <x:xf numFmtId="204" fontId="1" fillId="9" borderId="5" xfId="0" applyNumberFormat="1" applyFont="1" applyFill="1" applyBorder="1" applyAlignment="1">
      <x:alignment horizontal="center" vertical="center"/>
    </x:xf>
    <x:xf numFmtId="204" fontId="1" fillId="10" borderId="5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204" fontId="1" fillId="12" borderId="5" xfId="0" applyNumberFormat="1" applyFont="1" applyFill="1" applyBorder="1" applyAlignment="1">
      <x:alignment vertical="center"/>
    </x:xf>
    <x:xf numFmtId="205" fontId="1" fillId="12" borderId="5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200" fontId="1" fillId="10" borderId="5" xfId="0" applyNumberFormat="1" applyFont="1" applyFill="1" applyBorder="1" applyAlignment="1">
      <x:alignment vertical="center"/>
    </x:xf>
    <x:xf numFmtId="208" fontId="1" fillId="12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horizontal="center" vertical="center"/>
    </x:xf>
    <x:xf numFmtId="203" fontId="1" fillId="11" borderId="5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/>
    <x:xf numFmtId="0" fontId="4" fillId="8" borderId="0" xfId="0" applyNumberFormat="1" applyFont="1" applyFill="1" applyBorder="1"/>
    <x:xf numFmtId="0" fontId="1" fillId="14" borderId="5" xfId="0" applyNumberFormat="1" applyFont="1" applyFill="1" applyBorder="1" applyAlignment="1">
      <x:alignment vertical="center" wrapText="1"/>
    </x:xf>
    <x:xf numFmtId="201" fontId="1" fillId="14" borderId="5" xfId="0" applyNumberFormat="1" applyFont="1" applyFill="1" applyBorder="1" applyAlignment="1">
      <x:alignment vertical="center" wrapText="1"/>
    </x:xf>
    <x:xf numFmtId="203" fontId="1" fillId="14" borderId="5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201" fontId="1" fillId="14" borderId="0" xfId="0" applyNumberFormat="1" applyFont="1" applyFill="1" applyBorder="1" applyAlignment="1">
      <x:alignment vertical="center"/>
    </x:xf>
    <x:xf numFmtId="203" fontId="1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1" fillId="14" borderId="5" xfId="0" applyNumberFormat="1" applyFont="1" applyFill="1" applyBorder="1" applyAlignment="1">
      <x:alignment vertical="center"/>
    </x:xf>
    <x:xf numFmtId="202" fontId="1" fillId="14" borderId="5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203" fontId="1" fillId="14" borderId="0" xfId="0" applyNumberFormat="1" applyFont="1" applyFill="1" applyBorder="1" applyAlignment="1">
      <x:alignment vertical="center" wrapText="1"/>
    </x:xf>
    <x:xf numFmtId="201" fontId="1" fillId="1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16" borderId="0" xfId="0" applyNumberFormat="1" applyFont="1" applyFill="1" applyBorder="1"/>
    <x:xf numFmtId="201" fontId="0" fillId="16" borderId="0" xfId="0" applyNumberFormat="1" applyFont="1" applyFill="1" applyBorder="1"/>
    <x:xf numFmtId="0" fontId="4" fillId="15" borderId="2" xfId="0" applyNumberFormat="1" applyFont="1" applyFill="1" applyBorder="1" applyAlignment="1">
      <x:alignment horizontal="center" vertical="center" wrapText="1"/>
    </x:xf>
    <x:xf numFmtId="0" fontId="4" fillId="15" borderId="3" xfId="0" applyNumberFormat="1" applyFont="1" applyFill="1" applyBorder="1" applyAlignment="1">
      <x:alignment horizontal="center" vertical="center" wrapText="1"/>
    </x:xf>
    <x:xf numFmtId="0" fontId="4" fillId="15" borderId="4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201" fontId="1" fillId="16" borderId="0" xfId="0" applyNumberFormat="1" applyFont="1" applyFill="1" applyBorder="1"/>
    <x:xf numFmtId="201" fontId="1" fillId="16" borderId="0" xfId="0" applyNumberFormat="1" applyFont="1" applyFill="1" applyBorder="1" applyAlignment="1">
      <x:alignment vertical="center"/>
    </x:xf>
    <x:xf numFmtId="201" fontId="1" fillId="16" borderId="0" xfId="0" applyNumberFormat="1" applyFont="1" applyFill="1" applyBorder="1" applyAlignment="1">
      <x:alignment vertical="center" wrapText="1"/>
    </x:xf>
    <x:xf numFmtId="203" fontId="1" fillId="18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/>
    </x:xf>
    <x:xf numFmtId="200" fontId="1" fillId="18" borderId="0" xfId="0" applyNumberFormat="1" applyFont="1" applyFill="1" applyBorder="1" applyAlignment="1">
      <x:alignment vertical="center"/>
    </x:xf>
    <x:xf numFmtId="201" fontId="1" fillId="18" borderId="5" xfId="0" applyNumberFormat="1" applyFont="1" applyFill="1" applyBorder="1" applyAlignment="1">
      <x:alignment vertical="center" wrapText="1"/>
    </x:xf>
    <x:xf numFmtId="202" fontId="1" fillId="18" borderId="5" xfId="0" applyNumberFormat="1" applyFont="1" applyFill="1" applyBorder="1" applyAlignment="1">
      <x:alignment vertical="center"/>
    </x:xf>
    <x:xf numFmtId="200" fontId="1" fillId="18" borderId="5" xfId="0" applyNumberFormat="1" applyFont="1" applyFill="1" applyBorder="1" applyAlignment="1">
      <x:alignment vertical="center"/>
    </x:xf>
    <x:xf numFmtId="209" fontId="1" fillId="18" borderId="5" xfId="0" applyNumberFormat="1" applyFont="1" applyFill="1" applyBorder="1" applyAlignment="1">
      <x:alignment vertical="center"/>
    </x:xf>
    <x:xf numFmtId="203" fontId="1" fillId="18" borderId="0" xfId="0" applyNumberFormat="1" applyFont="1" applyFill="1" applyBorder="1" applyAlignment="1">
      <x:alignment vertical="center" wrapText="1"/>
    </x:xf>
    <x:xf numFmtId="201" fontId="1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210" fontId="1" fillId="20" borderId="0" xfId="0" applyNumberFormat="1" applyFont="1" applyFill="1" applyBorder="1" applyAlignment="1">
      <x:alignment vertical="center" wrapText="1"/>
    </x:xf>
    <x:xf numFmtId="201" fontId="1" fillId="20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horizontal="center" vertical="center" wrapText="1"/>
    </x:xf>
    <x:xf numFmtId="211" fontId="1" fillId="5" borderId="5" xfId="0" applyNumberFormat="1" applyFont="1" applyFill="1" applyBorder="1" applyAlignment="1">
      <x:alignment vertical="center"/>
    </x:xf>
    <x:xf numFmtId="211" fontId="1" fillId="6" borderId="5" xfId="0" applyNumberFormat="1" applyFont="1" applyFill="1" applyBorder="1" applyAlignment="1">
      <x:alignment vertical="center"/>
    </x:xf>
    <x:xf numFmtId="209" fontId="1" fillId="5" borderId="5" xfId="0" applyNumberFormat="1" applyFont="1" applyFill="1" applyBorder="1" applyAlignment="1">
      <x:alignment vertical="center"/>
    </x:xf>
    <x:xf numFmtId="209" fontId="1" fillId="6" borderId="5" xfId="0" applyNumberFormat="1" applyFont="1" applyFill="1" applyBorder="1" applyAlignment="1">
      <x:alignment vertical="center"/>
    </x:xf>
    <x:xf numFmtId="210" fontId="1" fillId="5" borderId="5" xfId="0" applyNumberFormat="1" applyFont="1" applyFill="1" applyBorder="1" applyAlignment="1">
      <x:alignment vertical="center"/>
    </x:xf>
    <x:xf numFmtId="210" fontId="1" fillId="6" borderId="5" xfId="0" applyNumberFormat="1" applyFont="1" applyFill="1" applyBorder="1" applyAlignment="1">
      <x:alignment vertical="center"/>
    </x:xf>
    <x:xf numFmtId="212" fontId="1" fillId="5" borderId="5" xfId="0" applyNumberFormat="1" applyFont="1" applyFill="1" applyBorder="1" applyAlignment="1">
      <x:alignment vertical="center"/>
    </x:xf>
    <x:xf numFmtId="212" fontId="1" fillId="6" borderId="5" xfId="0" applyNumberFormat="1" applyFont="1" applyFill="1" applyBorder="1" applyAlignment="1">
      <x:alignment vertical="center"/>
    </x:xf>
    <x:xf numFmtId="0" fontId="1" fillId="21" borderId="0" xfId="0" applyNumberFormat="1" applyFont="1" applyFill="1" applyBorder="1" applyAlignment="1">
      <x:alignment vertical="center"/>
    </x:xf>
    <x:xf numFmtId="0" fontId="5" fillId="21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/>
    </x:xf>
    <x:xf numFmtId="0" fontId="4" fillId="22" borderId="2" xfId="0" applyNumberFormat="1" applyFont="1" applyFill="1" applyBorder="1" applyAlignment="1">
      <x:alignment vertical="center"/>
    </x:xf>
    <x:xf numFmtId="0" fontId="4" fillId="22" borderId="3" xfId="0" applyNumberFormat="1" applyFont="1" applyFill="1" applyBorder="1" applyAlignment="1">
      <x:alignment vertical="center"/>
    </x:xf>
    <x:xf numFmtId="0" fontId="4" fillId="22" borderId="4" xfId="0" applyNumberFormat="1" applyFont="1" applyFill="1" applyBorder="1" applyAlignment="1">
      <x:alignment vertical="center"/>
    </x:xf>
    <x:xf numFmtId="0" fontId="4" fillId="22" borderId="2" xfId="0" applyNumberFormat="1" applyFont="1" applyFill="1" applyBorder="1" applyAlignment="1">
      <x:alignment vertical="center" wrapText="1"/>
    </x:xf>
    <x:xf numFmtId="0" fontId="4" fillId="22" borderId="3" xfId="0" applyNumberFormat="1" applyFont="1" applyFill="1" applyBorder="1" applyAlignment="1">
      <x:alignment vertical="center" wrapText="1"/>
    </x:xf>
    <x:xf numFmtId="0" fontId="4" fillId="22" borderId="4" xfId="0" applyNumberFormat="1" applyFont="1" applyFill="1" applyBorder="1" applyAlignment="1">
      <x:alignment vertical="center" wrapText="1"/>
    </x:xf>
    <x:xf numFmtId="0" fontId="4" fillId="22" borderId="2" xfId="0" applyNumberFormat="1" applyFont="1" applyFill="1" applyBorder="1" applyAlignment="1">
      <x:alignment horizontal="center" vertical="center" wrapText="1"/>
    </x:xf>
    <x:xf numFmtId="0" fontId="4" fillId="22" borderId="3" xfId="0" applyNumberFormat="1" applyFont="1" applyFill="1" applyBorder="1" applyAlignment="1">
      <x:alignment horizontal="center" vertical="center" wrapText="1"/>
    </x:xf>
    <x:xf numFmtId="0" fontId="4" fillId="22" borderId="4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vertical="center"/>
    </x:xf>
    <x:xf numFmtId="0" fontId="1" fillId="23" borderId="5" xfId="0" applyNumberFormat="1" applyFont="1" applyFill="1" applyBorder="1" applyAlignment="1">
      <x:alignment vertical="center"/>
    </x:xf>
    <x:xf numFmtId="0" fontId="1" fillId="24" borderId="5" xfId="0" applyNumberFormat="1" applyFont="1" applyFill="1" applyBorder="1" applyAlignment="1">
      <x:alignment vertical="center"/>
    </x:xf>
    <x:xf numFmtId="206" fontId="1" fillId="23" borderId="5" xfId="0" applyNumberFormat="1" applyFont="1" applyFill="1" applyBorder="1" applyAlignment="1">
      <x:alignment vertical="center"/>
    </x:xf>
    <x:xf numFmtId="0" fontId="1" fillId="25" borderId="5" xfId="0" applyNumberFormat="1" applyFont="1" applyFill="1" applyBorder="1" applyAlignment="1">
      <x:alignment vertical="center"/>
    </x:xf>
    <x:xf numFmtId="206" fontId="1" fillId="25" borderId="5" xfId="0" applyNumberFormat="1" applyFont="1" applyFill="1" applyBorder="1" applyAlignment="1">
      <x:alignment vertical="center"/>
    </x:xf>
    <x:xf numFmtId="206" fontId="1" fillId="24" borderId="5" xfId="0" applyNumberFormat="1" applyFont="1" applyFill="1" applyBorder="1" applyAlignment="1">
      <x:alignment vertical="center"/>
    </x:xf>
    <x:xf numFmtId="206" fontId="1" fillId="26" borderId="5" xfId="0" applyNumberFormat="1" applyFont="1" applyFill="1" applyBorder="1" applyAlignment="1">
      <x:alignment vertical="center"/>
    </x:xf>
    <x:xf numFmtId="0" fontId="1" fillId="26" borderId="5" xfId="0" applyNumberFormat="1" applyFont="1" applyFill="1" applyBorder="1" applyAlignment="1">
      <x:alignment vertical="center"/>
    </x:xf>
    <x:xf numFmtId="213" fontId="1" fillId="24" borderId="5" xfId="0" applyNumberFormat="1" applyFont="1" applyFill="1" applyBorder="1" applyAlignment="1">
      <x:alignment vertical="center"/>
    </x:xf>
    <x:xf numFmtId="213" fontId="1" fillId="26" borderId="5" xfId="0" applyNumberFormat="1" applyFont="1" applyFill="1" applyBorder="1" applyAlignment="1">
      <x:alignment vertical="center"/>
    </x:xf>
    <x:xf numFmtId="213" fontId="1" fillId="25" borderId="5" xfId="0" applyNumberFormat="1" applyFont="1" applyFill="1" applyBorder="1" applyAlignment="1">
      <x:alignment vertical="center"/>
    </x:xf>
    <x:xf numFmtId="213" fontId="1" fillId="23" borderId="5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 wrapText="1"/>
    </x:xf>
    <x:xf numFmtId="200" fontId="1" fillId="4" borderId="5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/>
    </x:xf>
    <x:xf numFmtId="0" fontId="1" fillId="23" borderId="5" xfId="0" applyNumberFormat="1" applyFont="1" applyFill="1" applyBorder="1" applyAlignment="1">
      <x:alignment vertical="center" wrapText="1"/>
    </x:xf>
    <x:xf numFmtId="0" fontId="1" fillId="25" borderId="5" xfId="0" applyNumberFormat="1" applyFont="1" applyFill="1" applyBorder="1" applyAlignment="1">
      <x:alignment vertical="center" wrapText="1"/>
    </x:xf>
    <x:xf numFmtId="205" fontId="1" fillId="24" borderId="5" xfId="0" applyNumberFormat="1" applyFont="1" applyFill="1" applyBorder="1" applyAlignment="1">
      <x:alignment vertical="center"/>
    </x:xf>
    <x:xf numFmtId="200" fontId="1" fillId="24" borderId="5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/>
    </x:xf>
    <x:xf numFmtId="202" fontId="1" fillId="24" borderId="0" xfId="0" applyNumberFormat="1" applyFont="1" applyFill="1" applyBorder="1" applyAlignment="1">
      <x:alignment vertical="center"/>
    </x:xf>
    <x:xf numFmtId="203" fontId="1" fillId="24" borderId="5" xfId="0" applyNumberFormat="1" applyFont="1" applyFill="1" applyBorder="1" applyAlignment="1">
      <x:alignment vertical="center"/>
    </x:xf>
    <x:xf numFmtId="205" fontId="1" fillId="26" borderId="5" xfId="0" applyNumberFormat="1" applyFont="1" applyFill="1" applyBorder="1" applyAlignment="1">
      <x:alignment vertical="center"/>
    </x:xf>
    <x:xf numFmtId="214" fontId="1" fillId="26" borderId="5" xfId="0" applyNumberFormat="1" applyFont="1" applyFill="1" applyBorder="1" applyAlignment="1">
      <x:alignment vertical="center"/>
    </x:xf>
    <x:xf numFmtId="211" fontId="1" fillId="26" borderId="5" xfId="0" applyNumberFormat="1" applyFont="1" applyFill="1" applyBorder="1" applyAlignment="1">
      <x:alignment vertical="center"/>
    </x:xf>
    <x:xf numFmtId="203" fontId="1" fillId="26" borderId="5" xfId="0" applyNumberFormat="1" applyFont="1" applyFill="1" applyBorder="1" applyAlignment="1">
      <x:alignment vertical="center"/>
    </x:xf>
    <x:xf numFmtId="203" fontId="1" fillId="24" borderId="5" xfId="0" applyNumberFormat="1" applyFont="1" applyFill="1" applyBorder="1" applyAlignment="1">
      <x:alignment vertical="center" wrapText="1"/>
    </x:xf>
    <x:xf numFmtId="0" fontId="10" fillId="21" borderId="0" xfId="0" applyNumberFormat="1" applyFont="1" applyFill="1" applyBorder="1" applyAlignment="1">
      <x:alignment vertical="center"/>
    </x:xf>
    <x:xf numFmtId="0" fontId="1" fillId="26" borderId="0" xfId="0" applyNumberFormat="1" applyFont="1" applyFill="1" applyBorder="1" applyAlignment="1">
      <x:alignment vertical="center"/>
    </x:xf>
    <x:xf numFmtId="203" fontId="1" fillId="26" borderId="0" xfId="0" applyNumberFormat="1" applyFont="1" applyFill="1" applyBorder="1" applyAlignment="1">
      <x:alignment vertical="center"/>
    </x:xf>
    <x:xf numFmtId="215" fontId="1" fillId="24" borderId="5" xfId="0" applyNumberFormat="1" applyFont="1" applyFill="1" applyBorder="1" applyAlignment="1">
      <x:alignment vertical="center"/>
    </x:xf>
    <x:xf numFmtId="214" fontId="1" fillId="26" borderId="0" xfId="0" applyNumberFormat="1" applyFont="1" applyFill="1" applyBorder="1" applyAlignment="1">
      <x:alignment vertical="center"/>
    </x:xf>
    <x:xf numFmtId="216" fontId="1" fillId="26" borderId="5" xfId="0" applyNumberFormat="1" applyFont="1" applyFill="1" applyBorder="1" applyAlignment="1">
      <x:alignment vertical="center"/>
    </x:xf>
    <x:xf numFmtId="216" fontId="1" fillId="26" borderId="5" xfId="0" applyNumberFormat="1" applyFont="1" applyFill="1" applyBorder="1" applyAlignment="1">
      <x:alignment vertical="center" wrapText="1"/>
    </x:xf>
    <x:xf numFmtId="0" fontId="1" fillId="24" borderId="5" xfId="0" applyNumberFormat="1" applyFont="1" applyFill="1" applyBorder="1" applyAlignment="1">
      <x:alignment vertical="center" wrapText="1"/>
    </x:xf>
    <x:xf numFmtId="214" fontId="1" fillId="24" borderId="5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2" xfId="0" applyNumberFormat="1" applyFont="1" applyFill="1" applyBorder="1"/>
    <x:xf numFmtId="0" fontId="4" fillId="22" borderId="3" xfId="0" applyNumberFormat="1" applyFont="1" applyFill="1" applyBorder="1"/>
    <x:xf numFmtId="0" fontId="4" fillId="22" borderId="4" xfId="0" applyNumberFormat="1" applyFont="1" applyFill="1" applyBorder="1"/>
    <x:xf numFmtId="0" fontId="4" fillId="22" borderId="2" xfId="0" applyNumberFormat="1" applyFont="1" applyFill="1" applyBorder="1" applyAlignment="1">
      <x:alignment wrapText="1"/>
    </x:xf>
    <x:xf numFmtId="0" fontId="4" fillId="22" borderId="3" xfId="0" applyNumberFormat="1" applyFont="1" applyFill="1" applyBorder="1" applyAlignment="1">
      <x:alignment wrapText="1"/>
    </x:xf>
    <x:xf numFmtId="0" fontId="4" fillId="22" borderId="4" xfId="0" applyNumberFormat="1" applyFont="1" applyFill="1" applyBorder="1" applyAlignment="1">
      <x:alignment wrapText="1"/>
    </x:xf>
    <x:xf numFmtId="0" fontId="4" fillId="22" borderId="2" xfId="0" applyNumberFormat="1" applyFont="1" applyFill="1" applyBorder="1" applyAlignment="1">
      <x:alignment horizontal="center" wrapText="1"/>
    </x:xf>
    <x:xf numFmtId="0" fontId="4" fillId="22" borderId="3" xfId="0" applyNumberFormat="1" applyFont="1" applyFill="1" applyBorder="1" applyAlignment="1">
      <x:alignment horizontal="center" wrapText="1"/>
    </x:xf>
    <x:xf numFmtId="0" fontId="4" fillId="22" borderId="4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0" fillId="23" borderId="5" xfId="0" applyNumberFormat="1" applyFont="1" applyFill="1" applyBorder="1"/>
    <x:xf numFmtId="0" fontId="0" fillId="25" borderId="0" xfId="0" applyNumberFormat="1" applyFont="1" applyFill="1" applyBorder="1"/>
    <x:xf numFmtId="0" fontId="0" fillId="25" borderId="5" xfId="0" applyNumberFormat="1" applyFont="1" applyFill="1" applyBorder="1"/>
    <x:xf numFmtId="0" fontId="0" fillId="24" borderId="5" xfId="0" applyNumberFormat="1" applyFont="1" applyFill="1" applyBorder="1"/>
    <x:xf numFmtId="0" fontId="0" fillId="26" borderId="5" xfId="0" applyNumberFormat="1" applyFont="1" applyFill="1" applyBorder="1"/>
    <x:xf numFmtId="214" fontId="0" fillId="24" borderId="5" xfId="0" applyNumberFormat="1" applyFont="1" applyFill="1" applyBorder="1"/>
    <x:xf numFmtId="214" fontId="0" fillId="26" borderId="5" xfId="0" applyNumberFormat="1" applyFont="1" applyFill="1" applyBorder="1"/>
    <x:xf numFmtId="213" fontId="1" fillId="6" borderId="5" xfId="0" applyNumberFormat="1" applyFont="1" applyFill="1" applyBorder="1" applyAlignment="1">
      <x:alignment vertical="center"/>
    </x:xf>
    <x:xf numFmtId="202" fontId="1" fillId="6" borderId="5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/>
    <x:xf numFmtId="201" fontId="0" fillId="6" borderId="5" xfId="0" applyNumberFormat="1" applyFont="1" applyFill="1" applyBorder="1"/>
    <x:xf numFmtId="200" fontId="0" fillId="5" borderId="5" xfId="0" applyNumberFormat="1" applyFont="1" applyFill="1" applyBorder="1"/>
    <x:xf numFmtId="200" fontId="0" fillId="6" borderId="5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5" fillId="27" borderId="0" xfId="0" applyNumberFormat="1" applyFont="1" applyFill="1" applyBorder="1" applyAlignment="1">
      <x:alignment vertical="center"/>
    </x:xf>
    <x:xf numFmtId="0" fontId="1" fillId="28" borderId="0" xfId="0" applyNumberFormat="1" applyFont="1" applyFill="1" applyBorder="1" applyAlignment="1">
      <x:alignment vertical="center"/>
    </x:xf>
    <x:xf numFmtId="0" fontId="4" fillId="28" borderId="0" xfId="0" applyNumberFormat="1" applyFont="1" applyFill="1" applyBorder="1" applyAlignment="1">
      <x:alignment vertical="center"/>
    </x:xf>
    <x:xf numFmtId="0" fontId="4" fillId="28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vertical="center"/>
    </x:xf>
    <x:xf numFmtId="0" fontId="1" fillId="29" borderId="5" xfId="0" applyNumberFormat="1" applyFont="1" applyFill="1" applyBorder="1" applyAlignment="1">
      <x:alignment vertical="center"/>
    </x:xf>
    <x:xf numFmtId="0" fontId="1" fillId="30" borderId="5" xfId="0" applyNumberFormat="1" applyFont="1" applyFill="1" applyBorder="1" applyAlignment="1">
      <x:alignment vertical="center"/>
    </x:xf>
    <x:xf numFmtId="0" fontId="1" fillId="30" borderId="5" xfId="0" applyNumberFormat="1" applyFont="1" applyFill="1" applyBorder="1" applyAlignment="1">
      <x:alignment horizontal="center" vertical="center"/>
    </x:xf>
    <x:xf numFmtId="0" fontId="1" fillId="31" borderId="0" xfId="0" applyNumberFormat="1" applyFont="1" applyFill="1" applyBorder="1" applyAlignment="1">
      <x:alignment vertical="center"/>
    </x:xf>
    <x:xf numFmtId="0" fontId="1" fillId="31" borderId="5" xfId="0" applyNumberFormat="1" applyFont="1" applyFill="1" applyBorder="1" applyAlignment="1">
      <x:alignment vertical="center"/>
    </x:xf>
    <x:xf numFmtId="0" fontId="1" fillId="32" borderId="5" xfId="0" applyNumberFormat="1" applyFont="1" applyFill="1" applyBorder="1" applyAlignment="1">
      <x:alignment horizontal="center" vertical="center"/>
    </x:xf>
    <x:xf numFmtId="201" fontId="1" fillId="30" borderId="5" xfId="0" applyNumberFormat="1" applyFont="1" applyFill="1" applyBorder="1" applyAlignment="1">
      <x:alignment horizontal="center" vertical="center"/>
    </x:xf>
    <x:xf numFmtId="201" fontId="1" fillId="32" borderId="5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11" fontId="8" fillId="0" borderId="0" xfId="0" applyNumberFormat="1" applyFont="1" applyFill="1" applyBorder="1" applyAlignment="1">
      <x:alignment vertical="center"/>
    </x:xf>
    <x:xf numFmtId="211" fontId="8" fillId="33" borderId="0" xfId="0" applyNumberFormat="1" applyFont="1" applyFill="1" applyBorder="1" applyAlignment="1">
      <x:alignment vertical="center"/>
    </x:xf>
    <x:xf numFmtId="0" fontId="8" fillId="34" borderId="0" xfId="0" applyNumberFormat="1" applyFont="1" applyFill="1" applyBorder="1" applyAlignment="1">
      <x:alignment vertical="center"/>
    </x:xf>
    <x:xf numFmtId="211" fontId="8" fillId="34" borderId="0" xfId="0" applyNumberFormat="1" applyFont="1" applyFill="1" applyBorder="1" applyAlignment="1">
      <x:alignment vertical="center"/>
    </x:xf>
    <x:xf numFmtId="211" fontId="8" fillId="35" borderId="0" xfId="0" applyNumberFormat="1" applyFont="1" applyFill="1" applyBorder="1" applyAlignment="1">
      <x:alignment vertical="center"/>
    </x:xf>
    <x:xf numFmtId="201" fontId="8" fillId="33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211" fontId="8" fillId="7" borderId="0" xfId="0" applyNumberFormat="1" applyFont="1" applyFill="1" applyBorder="1" applyAlignment="1">
      <x:alignment vertical="center"/>
    </x:xf>
    <x:xf numFmtId="211" fontId="8" fillId="5" borderId="0" xfId="0" applyNumberFormat="1" applyFont="1" applyFill="1" applyBorder="1" applyAlignment="1">
      <x:alignment vertical="center"/>
    </x:xf>
    <x:xf numFmtId="211" fontId="8" fillId="6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/>
    </x:xf>
    <x:xf numFmtId="211" fontId="8" fillId="36" borderId="0" xfId="0" applyNumberFormat="1" applyFont="1" applyFill="1" applyBorder="1" applyAlignment="1">
      <x:alignment vertical="center"/>
    </x:xf>
    <x:xf numFmtId="0" fontId="8" fillId="37" borderId="0" xfId="0" applyNumberFormat="1" applyFont="1" applyFill="1" applyBorder="1" applyAlignment="1">
      <x:alignment vertical="center"/>
    </x:xf>
    <x:xf numFmtId="211" fontId="8" fillId="37" borderId="0" xfId="0" applyNumberFormat="1" applyFont="1" applyFill="1" applyBorder="1" applyAlignment="1">
      <x:alignment vertical="center"/>
    </x:xf>
    <x:xf numFmtId="211" fontId="8" fillId="38" borderId="0" xfId="0" applyNumberFormat="1" applyFont="1" applyFill="1" applyBorder="1" applyAlignment="1">
      <x:alignment vertical="center"/>
    </x:xf>
    <x:xf numFmtId="201" fontId="8" fillId="3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11" fontId="8" fillId="39" borderId="0" xfId="0" applyNumberFormat="1" applyFont="1" applyFill="1" applyBorder="1" applyAlignment="1">
      <x:alignment vertical="center"/>
    </x:xf>
    <x:xf numFmtId="0" fontId="8" fillId="40" borderId="0" xfId="0" applyNumberFormat="1" applyFont="1" applyFill="1" applyBorder="1" applyAlignment="1">
      <x:alignment vertical="center"/>
    </x:xf>
    <x:xf numFmtId="211" fontId="8" fillId="40" borderId="0" xfId="0" applyNumberFormat="1" applyFont="1" applyFill="1" applyBorder="1" applyAlignment="1">
      <x:alignment vertical="center"/>
    </x:xf>
    <x:xf numFmtId="211" fontId="8" fillId="41" borderId="0" xfId="0" applyNumberFormat="1" applyFont="1" applyFill="1" applyBorder="1" applyAlignment="1">
      <x:alignment vertical="center"/>
    </x:xf>
    <x:xf numFmtId="201" fontId="8" fillId="3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203936"/>
      </x:font>
      <x:fill>
        <x:patternFill>
          <x:bgColor rgb="FFEEDBB0"/>
        </x:patternFill>
      </x:fill>
    </x:dxf>
    <x:dxf>
      <x:font>
        <x:b/>
      </x:font>
      <x:fill>
        <x:patternFill>
          <x:bgColor rgb="FFEEDB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a5fe2f1b24665" /><Relationship Type="http://schemas.openxmlformats.org/officeDocument/2006/relationships/theme" Target="/xl/theme/theme1.xml" Id="R4378fb4525c74fa2" /><Relationship Type="http://schemas.openxmlformats.org/officeDocument/2006/relationships/sharedStrings" Target="/xl/sharedStrings.xml" Id="R78dec15a7c554e49" /><Relationship Type="http://schemas.openxmlformats.org/officeDocument/2006/relationships/worksheet" Target="/xl/worksheets/sheet1.xml" Id="R91777014302f4357" /><Relationship Type="http://schemas.openxmlformats.org/officeDocument/2006/relationships/worksheet" Target="/xl/worksheets/sheet2.xml" Id="R77610574cb3c4b1d" /><Relationship Type="http://schemas.openxmlformats.org/officeDocument/2006/relationships/worksheet" Target="/xl/worksheets/sheet3.xml" Id="R70efcf974a404abb" /><Relationship Type="http://schemas.openxmlformats.org/officeDocument/2006/relationships/worksheet" Target="/xl/worksheets/sheet4.xml" Id="R674229871a9b4e09" /><Relationship Type="http://schemas.openxmlformats.org/officeDocument/2006/relationships/worksheet" Target="/xl/worksheets/sheet5.xml" Id="R4286ecddcbdb4395" /><Relationship Type="http://schemas.openxmlformats.org/officeDocument/2006/relationships/worksheet" Target="/xl/worksheets/sheet6.xml" Id="Re9574001c9a74c58" /><Relationship Type="http://schemas.openxmlformats.org/officeDocument/2006/relationships/worksheet" Target="/xl/worksheets/sheet7.xml" Id="Rf70376a3120e4b90" /><Relationship Type="http://schemas.openxmlformats.org/officeDocument/2006/relationships/worksheet" Target="/xl/worksheets/sheet8.xml" Id="R2cdf92b85a7a4b80" /><Relationship Type="http://schemas.openxmlformats.org/officeDocument/2006/relationships/worksheet" Target="/xl/worksheets/sheet9.xml" Id="R7e3e0b67fc284efd" /><Relationship Type="http://schemas.openxmlformats.org/officeDocument/2006/relationships/worksheet" Target="/xl/worksheets/sheet10.xml" Id="R2abe9155e0d94d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bd38625ba74e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Плановое количество врагов по волнам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Врагов</c:v>
          </c:tx>
          <c:spPr>
            <a:solidFill xmlns:a="http://schemas.openxmlformats.org/drawingml/2006/main">
              <a:srgbClr val="214F4A"/>
            </a:solidFill>
          </c:spPr>
          <c:marker>
            <c:symbol val="none"/>
          </c:marker>
          <c:cat>
            <c:strRef>
              <c:f>'Обзор'!$J$56:$J$75</c:f>
              <c:strCache>
                <c:ptCount val="0"/>
              </c:strCache>
            </c:strRef>
          </c:cat>
          <c:val>
            <c:numRef>
              <c:f>'Обзор'!$K$56:$K$75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d38625ba74e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WavesTable" displayName="WavesTable" ref="A5:T25" headerRowCount="1" totalsRowCount="0" totalsRowShown="0">
  <x:autoFilter ref="A5:T25"/>
  <x:tableColumns count="20">
    <x:tableColumn id="1" name="Волна"/>
    <x:tableColumn id="2" name="Всего"/>
    <x:tableColumn id="3" name="HP плановых"/>
    <x:tableColumn id="4" name="Золото: убийства + бонус"/>
    <x:tableColumn id="5" name="Обычный"/>
    <x:tableColumn id="6" name="Ниндзя"/>
    <x:tableColumn id="7" name="Тутанхамон"/>
    <x:tableColumn id="8" name="Гигант"/>
    <x:tableColumn id="9" name="Без ног"/>
    <x:tableColumn id="10" name="Пират"/>
    <x:tableColumn id="11" name="Самурай"/>
    <x:tableColumn id="12" name="Саркофаг"/>
    <x:tableColumn id="13" name="T-Rex"/>
    <x:tableColumn id="14" name="Рыцарь"/>
    <x:tableColumn id="15" name="Колдун"/>
    <x:tableColumn id="16" name="Безумный"/>
    <x:tableColumn id="17" name="Боксёр"/>
    <x:tableColumn id="18" name="Босс"/>
    <x:tableColumn id="19" name="Убийств для вызова"/>
    <x:tableColumn id="20" name="Бонус вызова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SpawnBatches" displayName="SpawnBatches" ref="A5:J102" headerRowCount="1" totalsRowCount="0" totalsRowShown="0">
  <x:autoFilter ref="A5:J102"/>
  <x:tableColumns count="10">
    <x:tableColumn id="1" name="Волна"/>
    <x:tableColumn id="2" name="Партия"/>
    <x:tableColumn id="3" name="Мобов"/>
    <x:tableColumn id="4" name="Доля волны"/>
    <x:tableColumn id="5" name="Первый, с"/>
    <x:tableColumn id="6" name="Последний, с"/>
    <x:tableColumn id="7" name="Старт волны ≥"/>
    <x:tableColumn id="8" name="Первый №"/>
    <x:tableColumn id="9" name="Последний №"/>
    <x:tableColumn id="10" name="Босс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be19f959a448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7ba7d6db5fc49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13126c11c2546b5" /></Relationships>
</file>

<file path=xl/worksheets/sheet1.xml><?xml version="1.0" encoding="utf-8"?>
<x:worksheet xmlns:x="http://schemas.openxmlformats.org/spreadsheetml/2006/main">
  <x:sheetPr>
    <x:tabColor rgb="FF214F4A"/>
  </x:sheetPr>
  <x:sheetViews>
    <x:sheetView showGridLines="0" workbookViewId="0"/>
  </x:sheetViews>
  <x:sheetFormatPr defaultRowHeight="15"/>
  <x:cols>
    <x:col min="1" max="1" width="21.25" hidden="0" customWidth="1"/>
    <x:col min="2" max="2" width="23.1299991607666" hidden="0" customWidth="1"/>
    <x:col min="3" max="3" width="11.25" hidden="0" customWidth="1"/>
    <x:col min="4" max="4" width="16.8799991607666" hidden="0" customWidth="1"/>
    <x:col min="5" max="5" width="12.5" hidden="0" customWidth="1"/>
    <x:col min="6" max="6" width="16.25" hidden="0" customWidth="1"/>
    <x:col min="7" max="7" width="18.75" hidden="0" customWidth="1"/>
    <x:col min="10" max="10" width="13.75" hidden="0" customWidth="1"/>
    <x:col min="11" max="11" width="13.75" hidden="0" customWidth="1"/>
  </x:cols>
  <x:sheetData>
    <x:row r="1" ht="36" customHeight="1">
      <x:c r="A1" s="3" t="str">
        <x:v>Skeleton Defender — баланс</x:v>
      </x:c>
      <x:c r="B1" s="2"/>
      <x:c r="C1" s="2"/>
      <x:c r="D1" s="2"/>
      <x:c r="E1" s="2"/>
      <x:c r="F1" s="2"/>
      <x:c r="G1" s="2"/>
    </x:row>
    <x:row r="2" ht="24" customHeight="1">
      <x:c r="A2" s="4"/>
      <x:c r="B2" s="4"/>
      <x:c r="C2" s="4"/>
      <x:c r="D2" s="4"/>
      <x:c r="E2" s="4"/>
      <x:c r="F2" s="4"/>
      <x:c r="G2" s="4"/>
    </x:row>
    <x:row r="3" ht="24" customHeight="1">
      <x:c r="A3" s="32" t="str">
        <x:v>Текущий уровень: Skeleton Cemetry. Всего запланировано 10 карт, доступна только первая.</x:v>
      </x:c>
      <x:c r="B3" s="2"/>
      <x:c r="C3" s="2"/>
      <x:c r="D3" s="2"/>
      <x:c r="E3" s="2"/>
      <x:c r="F3" s="2"/>
      <x:c r="G3" s="2"/>
      <x:c r="J3"/>
      <x:c r="K3"/>
    </x:row>
    <x:row r="4" ht="24" customHeight="1">
      <x:c r="A4" s="2"/>
      <x:c r="B4" s="2"/>
      <x:c r="C4" s="2"/>
      <x:c r="D4" s="2"/>
      <x:c r="E4" s="2"/>
      <x:c r="F4" s="2"/>
      <x:c r="G4" s="2"/>
      <x:c r="J4"/>
      <x:c r="K4"/>
    </x:row>
    <x:row r="5" ht="42" customHeight="1">
      <x:c r="A5" s="66" t="str">
        <x:v>Карта</x:v>
      </x:c>
      <x:c r="B5" s="67" t="str">
        <x:v>Название</x:v>
      </x:c>
      <x:c r="C5" s="67" t="str">
        <x:v>Волн</x:v>
      </x:c>
      <x:c r="D5" s="67" t="str">
        <x:v>Плановых врагов</x:v>
      </x:c>
      <x:c r="E5" s="67" t="str">
        <x:v>Боссов</x:v>
      </x:c>
      <x:c r="F5" s="67" t="str">
        <x:v>Плановых HP</x:v>
      </x:c>
      <x:c r="G5" s="68" t="str">
        <x:v>Золото по плану</x:v>
      </x:c>
      <x:c r="J5"/>
      <x:c r="K5"/>
    </x:row>
    <x:row r="6" ht="38" customHeight="1">
      <x:c r="A6" s="99" t="n">
        <x:v>1</x:v>
      </x:c>
      <x:c r="B6" s="70" t="str">
        <x:v>Skeleton Cemetry</x:v>
      </x:c>
      <x:c r="C6" s="89" t="n">
        <x:v>20</x:v>
      </x:c>
      <x:c r="D6" s="94" t="n">
        <x:f>SUM('Волны'!B6:B25)</x:f>
        <x:v>3298</x:v>
      </x:c>
      <x:c r="E6" s="94" t="n">
        <x:f>SUM('Волны'!R6:R25)</x:f>
        <x:v>1</x:v>
      </x:c>
      <x:c r="F6" s="94" t="n">
        <x:f>SUM('Волны'!C6:C25)</x:f>
        <x:v>161525</x:v>
      </x:c>
      <x:c r="G6" s="94" t="n">
        <x:f>SUM('Волны'!D6:D25)</x:f>
        <x:v>9778</x:v>
      </x:c>
      <x:c r="J6"/>
      <x:c r="K6"/>
    </x:row>
    <x:row r="7" ht="24" customHeight="1">
      <x:c r="A7" s="2"/>
      <x:c r="B7" s="2"/>
      <x:c r="C7" s="2"/>
      <x:c r="D7" s="2"/>
      <x:c r="E7" s="2"/>
      <x:c r="F7" s="2"/>
      <x:c r="G7" s="2"/>
      <x:c r="J7"/>
      <x:c r="K7"/>
    </x:row>
    <x:row r="8" ht="24" customHeight="1">
      <x:c r="A8" s="32" t="str">
        <x:v>Плановые количества исключают призывы Тутанхамона и копии из саркофагов. Будущие 9 карт пока не наполнены.</x:v>
      </x:c>
      <x:c r="B8" s="2"/>
      <x:c r="C8" s="2"/>
      <x:c r="D8" s="2"/>
      <x:c r="E8" s="2"/>
      <x:c r="F8" s="2"/>
      <x:c r="G8" s="2"/>
      <x:c r="J8"/>
      <x:c r="K8"/>
    </x:row>
    <x:row r="9" ht="24" customHeight="1">
      <x:c r="A9" s="2"/>
      <x:c r="B9" s="2"/>
      <x:c r="C9" s="2"/>
      <x:c r="D9" s="2"/>
      <x:c r="E9" s="2"/>
      <x:c r="F9" s="2"/>
      <x:c r="G9" s="2"/>
      <x:c r="J9"/>
      <x:c r="K9"/>
    </x:row>
    <x:row r="10" ht="34" customHeight="1">
      <x:c r="A10" s="115" t="str">
        <x:v>Потолок бонусов</x:v>
      </x:c>
      <x:c r="B10" s="161" t="n">
        <x:f>SUM('Волны'!T6:T25)</x:f>
        <x:v>570</x:v>
      </x:c>
      <x:c r="C10" s="115" t="str">
        <x:v>19 вызовов</x:v>
      </x:c>
      <x:c r="D10" s="2"/>
      <x:c r="E10" s="2"/>
      <x:c r="F10" s="2"/>
      <x:c r="G10" s="2"/>
      <x:c r="J10"/>
      <x:c r="K10"/>
    </x:row>
    <x:row r="11" ht="24" customHeight="1">
      <x:c r="A11" s="32" t="str">
        <x:v>570 золота — теоретический максимум. Фактическая сумма зависит от времени каждого досрочного вызова.</x:v>
      </x:c>
      <x:c r="B11" s="2"/>
      <x:c r="C11" s="2"/>
      <x:c r="D11" s="2"/>
      <x:c r="E11" s="2"/>
      <x:c r="F11" s="2"/>
      <x:c r="G11" s="2"/>
      <x:c r="J11"/>
      <x:c r="K11"/>
    </x:row>
    <x:row r="12" ht="24" customHeight="1">
      <x:c r="A12" s="2"/>
      <x:c r="B12" s="2"/>
      <x:c r="C12" s="2"/>
      <x:c r="D12" s="2"/>
      <x:c r="E12" s="2"/>
      <x:c r="F12" s="2"/>
      <x:c r="G12" s="2"/>
      <x:c r="J12"/>
      <x:c r="K12"/>
    </x:row>
    <x:row r="13" ht="30" customHeight="1">
      <x:c r="A13" s="85" t="str">
        <x:v>Экономика карты</x:v>
      </x:c>
      <x:c r="B13" s="85"/>
      <x:c r="C13" s="85"/>
      <x:c r="D13" s="85"/>
      <x:c r="E13" s="85"/>
      <x:c r="F13" s="85"/>
      <x:c r="G13" s="85"/>
      <x:c r="J13"/>
      <x:c r="K13"/>
    </x:row>
    <x:row r="14" ht="42" customHeight="1">
      <x:c r="A14" s="66" t="str">
        <x:v>Параметр</x:v>
      </x:c>
      <x:c r="B14" s="67" t="str">
        <x:v>Значение</x:v>
      </x:c>
      <x:c r="C14" s="68" t="str">
        <x:v>Единица</x:v>
      </x:c>
      <x:c r="D14" s="2"/>
      <x:c r="E14" s="2"/>
      <x:c r="F14" s="2"/>
      <x:c r="G14" s="2"/>
      <x:c r="J14"/>
      <x:c r="K14"/>
    </x:row>
    <x:row r="15" ht="38" customHeight="1">
      <x:c r="A15" s="75" t="str">
        <x:v>Стартовое золото</x:v>
      </x:c>
      <x:c r="B15" s="73" t="n">
        <x:v>295</x:v>
      </x:c>
      <x:c r="C15" s="70" t="str">
        <x:v>золото</x:v>
      </x:c>
      <x:c r="D15" s="2"/>
      <x:c r="E15" s="2"/>
      <x:c r="F15" s="2"/>
      <x:c r="G15" s="2"/>
      <x:c r="J15"/>
      <x:c r="K15"/>
    </x:row>
    <x:row r="16" ht="38" customHeight="1">
      <x:c r="A16" s="78" t="str">
        <x:v>Жизни базы</x:v>
      </x:c>
      <x:c r="B16" s="73" t="n">
        <x:v>20</x:v>
      </x:c>
      <x:c r="C16" s="72" t="str">
        <x:v>жизни</x:v>
      </x:c>
      <x:c r="D16" s="2"/>
      <x:c r="E16" s="2"/>
      <x:c r="F16" s="2"/>
      <x:c r="G16" s="2"/>
      <x:c r="J16"/>
      <x:c r="K16"/>
    </x:row>
    <x:row r="17" ht="38" customHeight="1">
      <x:c r="A17" s="75" t="str">
        <x:v>Бонус: основа</x:v>
      </x:c>
      <x:c r="B17" s="73" t="n">
        <x:v>22</x:v>
      </x:c>
      <x:c r="C17" s="70" t="str">
        <x:v>золото</x:v>
      </x:c>
      <x:c r="D17" s="2"/>
      <x:c r="E17" s="2"/>
      <x:c r="F17" s="2"/>
      <x:c r="G17" s="2"/>
      <x:c r="J17"/>
      <x:c r="K17"/>
    </x:row>
    <x:row r="18" ht="38" customHeight="1">
      <x:c r="A18" s="78" t="str">
        <x:v>Бонус: за волну</x:v>
      </x:c>
      <x:c r="B18" s="73" t="n">
        <x:v>4</x:v>
      </x:c>
      <x:c r="C18" s="72" t="str">
        <x:v>золото</x:v>
      </x:c>
      <x:c r="D18" s="2"/>
      <x:c r="E18" s="2"/>
      <x:c r="F18" s="2"/>
      <x:c r="G18" s="2"/>
      <x:c r="J18"/>
      <x:c r="K18"/>
    </x:row>
    <x:row r="19" ht="38" customHeight="1">
      <x:c r="A19" s="75" t="str">
        <x:v>Продажа башни</x:v>
      </x:c>
      <x:c r="B19" s="100" t="n">
        <x:v>0.7</x:v>
      </x:c>
      <x:c r="C19" s="70"/>
      <x:c r="D19" s="2"/>
      <x:c r="E19" s="2"/>
      <x:c r="F19" s="2"/>
      <x:c r="G19" s="2"/>
      <x:c r="J19"/>
      <x:c r="K19"/>
    </x:row>
    <x:row r="20" ht="24" customHeight="1">
      <x:c r="A20" s="2"/>
      <x:c r="B20" s="2"/>
      <x:c r="C20" s="2"/>
      <x:c r="D20" s="2"/>
      <x:c r="E20" s="2"/>
      <x:c r="F20" s="2"/>
      <x:c r="G20" s="2"/>
      <x:c r="J20"/>
      <x:c r="K20"/>
    </x:row>
    <x:row r="21" ht="24" customHeight="1">
      <x:c r="A21" s="2"/>
      <x:c r="B21" s="2"/>
      <x:c r="C21" s="2"/>
      <x:c r="D21" s="2"/>
      <x:c r="E21" s="2"/>
      <x:c r="F21" s="2"/>
      <x:c r="G21" s="2"/>
      <x:c r="J21"/>
      <x:c r="K21"/>
    </x:row>
    <x:row r="22" ht="30" customHeight="1">
      <x:c r="A22" s="85" t="str">
        <x:v>Как пользоваться</x:v>
      </x:c>
      <x:c r="B22" s="85"/>
      <x:c r="C22" s="85"/>
      <x:c r="D22" s="85"/>
      <x:c r="E22" s="85"/>
      <x:c r="F22" s="85"/>
      <x:c r="G22" s="85"/>
    </x:row>
    <x:row r="23" ht="24" customHeight="1">
      <x:c r="A23" s="32" t="str">
        <x:v>Светло-золотые ячейки — параметры. Светло-зелёные — формулы. Изменение книги не меняет игру автоматически.</x:v>
      </x:c>
      <x:c r="B23" s="2"/>
      <x:c r="C23" s="2"/>
      <x:c r="D23" s="2"/>
      <x:c r="E23" s="2"/>
      <x:c r="F23" s="2"/>
      <x:c r="G23" s="2"/>
    </x:row>
    <x:row r="24" ht="24" customHeight="1">
      <x:c r="A24" s="32" t="str">
        <x:v>Враги: 14 типов скелетов. Волны: состав и количество всех 20 волн. Выход врагов: расписание партий.</x:v>
      </x:c>
      <x:c r="B24" s="2"/>
      <x:c r="C24" s="2"/>
      <x:c r="D24" s="2"/>
      <x:c r="E24" s="2"/>
      <x:c r="F24" s="2"/>
      <x:c r="G24" s="2"/>
    </x:row>
    <x:row r="25" ht="24" customHeight="1">
      <x:c r="A25" s="32" t="str">
        <x:v>Версия 0.6.2: изменён призыв Тутанхамона. Состав волны 3 сохранён: 50 обычных скелетов и 25 Тутанхамонов.</x:v>
      </x:c>
      <x:c r="B25" s="2"/>
      <x:c r="C25" s="2"/>
      <x:c r="D25" s="2"/>
      <x:c r="E25" s="2"/>
      <x:c r="F25" s="2"/>
      <x:c r="G25" s="2"/>
    </x:row>
    <x:row r="26" ht="24" customHeight="1">
      <x:c r="A26" s="32" t="str">
        <x:v>Следующую волну можно вызвать после выхода 60% исходного состава. Бонус 30–0 зависит от времени нажатия.</x:v>
      </x:c>
      <x:c r="B26" s="2"/>
      <x:c r="C26" s="2"/>
      <x:c r="D26" s="2"/>
      <x:c r="E26" s="2"/>
      <x:c r="F26" s="2"/>
      <x:c r="G26" s="2"/>
    </x:row>
    <x:row r="27" ht="24" customHeight="1">
      <x:c r="A27" s="32" t="str">
        <x:v>Источник: Игра.md, «Скелеты + волны», уточнения пользователя и параметры игры версии 0.6.2.</x:v>
      </x:c>
      <x:c r="B27" s="2"/>
      <x:c r="C27" s="2"/>
      <x:c r="D27" s="2"/>
      <x:c r="E27" s="2"/>
      <x:c r="F27" s="2"/>
      <x:c r="G27" s="2"/>
    </x:row>
    <x:row r="28" ht="24" customHeight="1">
      <x:c r="A28" s="32" t="str">
        <x:v>Допущения: состав волн 16–19, отдельные параметры эффектов и 30 HP ниндзи, Тутанхамона и безумного скелета.</x:v>
      </x:c>
      <x:c r="B28" s="2"/>
      <x:c r="C28" s="2"/>
      <x:c r="D28" s="2"/>
      <x:c r="E28" s="2"/>
      <x:c r="F28" s="2"/>
      <x:c r="G28" s="2"/>
    </x:row>
    <x:row r="29" ht="24" customHeight="1">
      <x:c r="A29" s="32" t="str">
        <x:v>Плановые HP и золото исключают призывы и копии. За них добавляется по 1 золоту. HP не учитывают броню и умения.</x:v>
      </x:c>
      <x:c r="B29" s="2"/>
      <x:c r="C29" s="2"/>
      <x:c r="D29" s="2"/>
      <x:c r="E29" s="2"/>
      <x:c r="F29" s="2"/>
      <x:c r="G29" s="2"/>
    </x:row>
    <x:row r="30" ht="24" customHeight="1">
      <x:c r="A30" s="32" t="str">
        <x:v>Цирцея в полной кольчуге: −75% скорости и базового восстановления маны; магический урон не уменьшается.</x:v>
      </x:c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4" customHeight="1">
      <x:c r="A33" s="2"/>
      <x:c r="B33" s="2"/>
      <x:c r="C33" s="2"/>
      <x:c r="D33" s="2"/>
      <x:c r="E33" s="2"/>
      <x:c r="F33" s="2"/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  <x:row r="37" ht="24" customHeight="1">
      <x:c r="A37" s="2"/>
      <x:c r="B37" s="2"/>
      <x:c r="C37" s="2"/>
      <x:c r="D37" s="2"/>
      <x:c r="E37" s="2"/>
      <x:c r="F37" s="2"/>
      <x:c r="G37" s="2"/>
    </x:row>
    <x:row r="38" ht="24" customHeight="1">
      <x:c r="A38" s="2"/>
      <x:c r="B38" s="2"/>
      <x:c r="C38" s="2"/>
      <x:c r="D38" s="2"/>
      <x:c r="E38" s="2"/>
      <x:c r="F38" s="2"/>
      <x:c r="G38" s="2"/>
    </x:row>
    <x:row r="39" ht="24" customHeight="1">
      <x:c r="A39" s="2"/>
      <x:c r="B39" s="2"/>
      <x:c r="C39" s="2"/>
      <x:c r="D39" s="2"/>
      <x:c r="E39" s="2"/>
      <x:c r="F39" s="2"/>
      <x:c r="G39" s="2"/>
    </x:row>
    <x:row r="40" ht="24" customHeight="1">
      <x:c r="A40" s="2"/>
      <x:c r="B40" s="2"/>
      <x:c r="C40" s="2"/>
      <x:c r="D40" s="2"/>
      <x:c r="E40" s="2"/>
      <x:c r="F40" s="2"/>
      <x:c r="G40" s="2"/>
    </x:row>
    <x:row r="41" ht="24" customHeight="1">
      <x:c r="A41" s="2"/>
      <x:c r="B41" s="2"/>
      <x:c r="C41" s="2"/>
      <x:c r="D41" s="2"/>
      <x:c r="E41" s="2"/>
      <x:c r="F41" s="2"/>
      <x:c r="G41" s="2"/>
    </x:row>
    <x:row r="42" ht="24" customHeight="1">
      <x:c r="A42" s="2"/>
      <x:c r="B42" s="2"/>
      <x:c r="C42" s="2"/>
      <x:c r="D42" s="2"/>
      <x:c r="E42" s="2"/>
      <x:c r="F42" s="2"/>
      <x:c r="G42" s="2"/>
    </x:row>
    <x:row r="43" ht="24" customHeight="1">
      <x:c r="A43" s="2"/>
      <x:c r="B43" s="2"/>
      <x:c r="C43" s="2"/>
      <x:c r="D43" s="2"/>
      <x:c r="E43" s="2"/>
      <x:c r="F43" s="2"/>
      <x:c r="G43" s="2"/>
    </x:row>
    <x:row r="44" ht="24" customHeight="1">
      <x:c r="A44" s="2"/>
      <x:c r="B44" s="2"/>
      <x:c r="C44" s="2"/>
      <x:c r="D44" s="2"/>
      <x:c r="E44" s="2"/>
      <x:c r="F44" s="2"/>
      <x:c r="G44" s="2"/>
    </x:row>
    <x:row r="45" ht="24" customHeight="1">
      <x:c r="A45" s="2"/>
      <x:c r="B45" s="2"/>
      <x:c r="C45" s="2"/>
      <x:c r="D45" s="2"/>
      <x:c r="E45" s="2"/>
      <x:c r="F45" s="2"/>
      <x:c r="G45" s="2"/>
    </x:row>
    <x:row r="46" ht="24" customHeight="1">
      <x:c r="A46" s="2"/>
      <x:c r="B46" s="2"/>
      <x:c r="C46" s="2"/>
      <x:c r="D46" s="2"/>
      <x:c r="E46" s="2"/>
      <x:c r="F46" s="2"/>
      <x:c r="G46" s="2"/>
    </x:row>
    <x:row r="47" ht="24" customHeight="1">
      <x:c r="A47" s="2"/>
      <x:c r="B47" s="2"/>
      <x:c r="C47" s="2"/>
      <x:c r="D47" s="2"/>
      <x:c r="E47" s="2"/>
      <x:c r="F47" s="2"/>
      <x:c r="G47" s="2"/>
    </x:row>
    <x:row r="48" ht="24" customHeight="1">
      <x:c r="A48" s="2"/>
      <x:c r="B48" s="2"/>
      <x:c r="C48" s="2"/>
      <x:c r="D48" s="2"/>
      <x:c r="E48" s="2"/>
      <x:c r="F48" s="2"/>
      <x:c r="G48" s="2"/>
    </x:row>
    <x:row r="49" ht="24" customHeight="1">
      <x:c r="A49" s="2"/>
      <x:c r="B49" s="2"/>
      <x:c r="C49" s="2"/>
      <x:c r="D49" s="2"/>
      <x:c r="E49" s="2"/>
      <x:c r="F49" s="2"/>
      <x:c r="G49" s="2"/>
    </x:row>
    <x:row r="50" ht="24" customHeight="1">
      <x:c r="A50" s="2"/>
      <x:c r="B50" s="2"/>
      <x:c r="C50" s="2"/>
      <x:c r="D50" s="2"/>
      <x:c r="E50" s="2"/>
      <x:c r="F50" s="2"/>
      <x:c r="G50" s="2"/>
    </x:row>
    <x:row r="51" ht="24" customHeight="1">
      <x:c r="A51" s="2"/>
      <x:c r="B51" s="2"/>
      <x:c r="C51" s="2"/>
      <x:c r="D51" s="2"/>
      <x:c r="E51" s="2"/>
      <x:c r="F51" s="2"/>
      <x:c r="G51" s="2"/>
    </x:row>
    <x:row r="52" ht="24" customHeight="1">
      <x:c r="A52" s="2"/>
      <x:c r="B52" s="2"/>
      <x:c r="C52" s="2"/>
      <x:c r="D52" s="2"/>
      <x:c r="E52" s="2"/>
      <x:c r="F52" s="2"/>
      <x:c r="G52" s="2"/>
    </x:row>
    <x:row r="53">
      <x:c r="J53" s="55" t="str">
        <x:v>Данные графика</x:v>
      </x:c>
      <x:c r="K53" s="55"/>
    </x:row>
    <x:row r="54">
      <x:c r="J54" s="55"/>
      <x:c r="K54" s="55"/>
    </x:row>
    <x:row r="55" ht="28" customHeight="1">
      <x:c r="J55" s="102" t="str">
        <x:v>Волна</x:v>
      </x:c>
      <x:c r="K55" s="102" t="str">
        <x:v>Врагов</x:v>
      </x:c>
    </x:row>
    <x:row r="56">
      <x:c r="J56" s="55" t="str">
        <x:v>Волна 1</x:v>
      </x:c>
      <x:c r="K56" s="55" t="n">
        <x:f>'Волны'!B6</x:f>
        <x:v>50</x:v>
      </x:c>
    </x:row>
    <x:row r="57">
      <x:c r="J57" s="55" t="str">
        <x:v>Волна 2</x:v>
      </x:c>
      <x:c r="K57" s="55" t="n">
        <x:f>'Волны'!B7</x:f>
        <x:v>70</x:v>
      </x:c>
    </x:row>
    <x:row r="58">
      <x:c r="J58" s="55" t="str">
        <x:v>Волна 3</x:v>
      </x:c>
      <x:c r="K58" s="55" t="n">
        <x:f>'Волны'!B8</x:f>
        <x:v>75</x:v>
      </x:c>
    </x:row>
    <x:row r="59">
      <x:c r="J59" s="55" t="str">
        <x:v>Волна 4</x:v>
      </x:c>
      <x:c r="K59" s="55" t="n">
        <x:f>'Волны'!B9</x:f>
        <x:v>60</x:v>
      </x:c>
    </x:row>
    <x:row r="60">
      <x:c r="J60" s="55" t="str">
        <x:v>Волна 5</x:v>
      </x:c>
      <x:c r="K60" s="55" t="n">
        <x:f>'Волны'!B10</x:f>
        <x:v>70</x:v>
      </x:c>
    </x:row>
    <x:row r="61">
      <x:c r="J61" s="55" t="str">
        <x:v>Волна 6</x:v>
      </x:c>
      <x:c r="K61" s="55" t="n">
        <x:f>'Волны'!B11</x:f>
        <x:v>125</x:v>
      </x:c>
    </x:row>
    <x:row r="62">
      <x:c r="J62" s="55" t="str">
        <x:v>Волна 7</x:v>
      </x:c>
      <x:c r="K62" s="55" t="n">
        <x:f>'Волны'!B12</x:f>
        <x:v>100</x:v>
      </x:c>
    </x:row>
    <x:row r="63">
      <x:c r="J63" s="55" t="str">
        <x:v>Волна 8</x:v>
      </x:c>
      <x:c r="K63" s="55" t="n">
        <x:f>'Волны'!B13</x:f>
        <x:v>100</x:v>
      </x:c>
    </x:row>
    <x:row r="64">
      <x:c r="J64" s="55" t="str">
        <x:v>Волна 9</x:v>
      </x:c>
      <x:c r="K64" s="55" t="n">
        <x:f>'Волны'!B14</x:f>
        <x:v>90</x:v>
      </x:c>
    </x:row>
    <x:row r="65">
      <x:c r="J65" s="55" t="str">
        <x:v>Волна 10</x:v>
      </x:c>
      <x:c r="K65" s="55" t="n">
        <x:f>'Волны'!B15</x:f>
        <x:v>200</x:v>
      </x:c>
    </x:row>
    <x:row r="66">
      <x:c r="J66" s="55" t="str">
        <x:v>Волна 11</x:v>
      </x:c>
      <x:c r="K66" s="55" t="n">
        <x:f>'Волны'!B16</x:f>
        <x:v>125</x:v>
      </x:c>
    </x:row>
    <x:row r="67">
      <x:c r="J67" s="55" t="str">
        <x:v>Волна 12</x:v>
      </x:c>
      <x:c r="K67" s="55" t="n">
        <x:f>'Волны'!B17</x:f>
        <x:v>130</x:v>
      </x:c>
    </x:row>
    <x:row r="68">
      <x:c r="J68" s="55" t="str">
        <x:v>Волна 13</x:v>
      </x:c>
      <x:c r="K68" s="55" t="n">
        <x:f>'Волны'!B18</x:f>
        <x:v>150</x:v>
      </x:c>
    </x:row>
    <x:row r="69">
      <x:c r="J69" s="55" t="str">
        <x:v>Волна 14</x:v>
      </x:c>
      <x:c r="K69" s="55" t="n">
        <x:f>'Волны'!B19</x:f>
        <x:v>172</x:v>
      </x:c>
    </x:row>
    <x:row r="70">
      <x:c r="J70" s="55" t="str">
        <x:v>Волна 15</x:v>
      </x:c>
      <x:c r="K70" s="55" t="n">
        <x:f>'Волны'!B20</x:f>
        <x:v>375</x:v>
      </x:c>
    </x:row>
    <x:row r="71">
      <x:c r="J71" s="55" t="str">
        <x:v>Волна 16</x:v>
      </x:c>
      <x:c r="K71" s="55" t="n">
        <x:f>'Волны'!B21</x:f>
        <x:v>250</x:v>
      </x:c>
    </x:row>
    <x:row r="72">
      <x:c r="J72" s="55" t="str">
        <x:v>Волна 17</x:v>
      </x:c>
      <x:c r="K72" s="55" t="n">
        <x:f>'Волны'!B22</x:f>
        <x:v>325</x:v>
      </x:c>
    </x:row>
    <x:row r="73">
      <x:c r="J73" s="55" t="str">
        <x:v>Волна 18</x:v>
      </x:c>
      <x:c r="K73" s="55" t="n">
        <x:f>'Волны'!B23</x:f>
        <x:v>365</x:v>
      </x:c>
    </x:row>
    <x:row r="74">
      <x:c r="J74" s="55" t="str">
        <x:v>Волна 19</x:v>
      </x:c>
      <x:c r="K74" s="55" t="n">
        <x:f>'Волны'!B24</x:f>
        <x:v>465</x:v>
      </x:c>
    </x:row>
    <x:row r="75">
      <x:c r="J75" s="55" t="str">
        <x:v>Волна 20</x:v>
      </x:c>
      <x:c r="K75" s="55" t="n">
        <x:f>'Волны'!B25</x:f>
        <x:v>1</x:v>
      </x:c>
    </x:row>
  </x:sheetData>
  <x:pageMargins left="0.7" right="0.7" top="0.75" bottom="0.75" header="0.3" footer="0.3"/>
  <x:drawing xmlns:r="http://schemas.openxmlformats.org/officeDocument/2006/relationships" r:id="R9abe19f959a44857"/>
</x:worksheet>
</file>

<file path=xl/worksheets/sheet2.xml><?xml version="1.0" encoding="utf-8"?>
<x:worksheet xmlns:x="http://schemas.openxmlformats.org/spreadsheetml/2006/main">
  <x:sheetPr>
    <x:tabColor rgb="FF214F4A"/>
  </x:sheetPr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2.5" hidden="0" customWidth="1"/>
    <x:col min="4" max="4" width="13.75" hidden="0" customWidth="1"/>
    <x:col min="5" max="5" width="15.630000114440918" hidden="0" customWidth="1"/>
    <x:col min="6" max="6" width="13.75" hidden="0" customWidth="1"/>
    <x:col min="7" max="7" width="16.25" hidden="0" customWidth="1"/>
    <x:col min="8" max="8" width="21.25" hidden="0" customWidth="1"/>
    <x:col min="9" max="9" width="31.25" hidden="0" customWidth="1"/>
  </x:cols>
  <x:sheetData>
    <x:row r="1" ht="36" customHeight="1">
      <x:c r="A1" s="3" t="str">
        <x:v>Герои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5" t="str">
        <x:v>Один основной герой и временная управляемая копия от зеркала. Вверху — базовые параметры без экипировки.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14" t="str">
        <x:v>Герой</x:v>
      </x:c>
      <x:c r="B5" s="15" t="str">
        <x:v>Роль</x:v>
      </x:c>
      <x:c r="C5" s="15" t="str">
        <x:v>HP</x:v>
      </x:c>
      <x:c r="D5" s="15" t="str">
        <x:v>Урон / удар</x:v>
      </x:c>
      <x:c r="E5" s="15" t="str">
        <x:v>Интервал, с</x:v>
      </x:c>
      <x:c r="F5" s="15" t="str">
        <x:v>Атак / с</x:v>
      </x:c>
      <x:c r="G5" s="15" t="str">
        <x:v>Базовый DPS</x:v>
      </x:c>
      <x:c r="H5" s="15" t="str">
        <x:v>Тип урона</x:v>
      </x:c>
      <x:c r="I5" s="16" t="str">
        <x:v>Оружие</x:v>
      </x:c>
    </x:row>
    <x:row r="6" ht="36" customHeight="1">
      <x:c r="A6" s="18" t="str">
        <x:v>Цирцея</x:v>
      </x:c>
      <x:c r="B6" s="18" t="str">
        <x:v>Дальний бой</x:v>
      </x:c>
      <x:c r="C6" s="25" t="n">
        <x:v>250</x:v>
      </x:c>
      <x:c r="D6" s="23" t="n">
        <x:v>5</x:v>
      </x:c>
      <x:c r="E6" s="23" t="n">
        <x:v>2</x:v>
      </x:c>
      <x:c r="F6" s="24" t="n">
        <x:f>1/E6</x:f>
        <x:v>0.5</x:v>
      </x:c>
      <x:c r="G6" s="24" t="n">
        <x:f>D6/E6</x:f>
        <x:v>2.5</x:v>
      </x:c>
      <x:c r="H6" s="18" t="str">
        <x:v>Магический</x:v>
      </x:c>
      <x:c r="I6" s="18" t="str">
        <x:v>Посох; меч со штрафом</x:v>
      </x:c>
    </x:row>
    <x:row r="7" ht="36" customHeight="1">
      <x:c r="A7" s="20" t="str">
        <x:v>Ахилл</x:v>
      </x:c>
      <x:c r="B7" s="20" t="str">
        <x:v>Ближний бой</x:v>
      </x:c>
      <x:c r="C7" s="25" t="n">
        <x:v>350</x:v>
      </x:c>
      <x:c r="D7" s="23" t="n">
        <x:v>2.5</x:v>
      </x:c>
      <x:c r="E7" s="23" t="n">
        <x:v>1</x:v>
      </x:c>
      <x:c r="F7" s="24" t="n">
        <x:f>1/E7</x:f>
        <x:v>1</x:v>
      </x:c>
      <x:c r="G7" s="24" t="n">
        <x:f>D7/E7</x:f>
        <x:v>2.5</x:v>
      </x:c>
      <x:c r="H7" s="20" t="str">
        <x:v>Физический</x:v>
      </x:c>
      <x:c r="I7" s="20" t="str">
        <x:v>Меч, кинжал; посох — мана</x:v>
      </x:c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8" customHeight="1">
      <x:c r="A10" s="28" t="str">
        <x:v>Пассивные умения</x:v>
      </x:c>
      <x:c r="B10" s="28"/>
      <x:c r="C10" s="28"/>
      <x:c r="D10" s="28"/>
      <x:c r="E10" s="28"/>
      <x:c r="F10" s="28"/>
      <x:c r="G10" s="28"/>
      <x:c r="H10" s="28"/>
      <x:c r="I10" s="28"/>
    </x:row>
    <x:row r="11" ht="38" customHeight="1">
      <x:c r="A11" s="14" t="str">
        <x:v>Герой / умение</x:v>
      </x:c>
      <x:c r="B11" s="15" t="str">
        <x:v>Триггер</x:v>
      </x:c>
      <x:c r="C11" s="15" t="str">
        <x:v>Период, с</x:v>
      </x:c>
      <x:c r="D11" s="15" t="str">
        <x:v>Шанс</x:v>
      </x:c>
      <x:c r="E11" s="15" t="str">
        <x:v>Эффект, с</x:v>
      </x:c>
      <x:c r="F11" s="15" t="str">
        <x:v>Снарядов</x:v>
      </x:c>
      <x:c r="G11" s="15" t="str">
        <x:v>Урон / снаряд</x:v>
      </x:c>
      <x:c r="H11" s="15" t="str">
        <x:v>Урон залпа</x:v>
      </x:c>
      <x:c r="I11" s="16" t="str">
        <x:v>Действие</x:v>
      </x:c>
    </x:row>
    <x:row r="12" ht="72" customHeight="1">
      <x:c r="A12" s="29" t="str">
        <x:v>Цирцея: Синяя жаба</x:v>
      </x:c>
      <x:c r="B12" s="29" t="str">
        <x:v>Обычная атака</x:v>
      </x:c>
      <x:c r="C12" s="104" t="n">
        <x:v>30</x:v>
      </x:c>
      <x:c r="D12" s="105" t="n">
        <x:v>0.05</x:v>
      </x:c>
      <x:c r="E12" s="30" t="n">
        <x:v>3</x:v>
      </x:c>
      <x:c r="F12" s="30"/>
      <x:c r="G12" s="30"/>
      <x:c r="H12" s="29"/>
      <x:c r="I12" s="29" t="str">
        <x:v>5% при обычной атаке. После успеха — перезарядка 30 с. Обычный враг исчезает через 3 с. На босса не действует.</x:v>
      </x:c>
    </x:row>
    <x:row r="13" ht="72" customHeight="1">
      <x:c r="A13" s="31" t="str">
        <x:v>Цирцея: Луч солнца</x:v>
      </x:c>
      <x:c r="B13" s="31" t="str">
        <x:v>По таймеру</x:v>
      </x:c>
      <x:c r="C13" s="30" t="n">
        <x:v>45</x:v>
      </x:c>
      <x:c r="D13" s="33"/>
      <x:c r="E13" s="30"/>
      <x:c r="F13" s="30"/>
      <x:c r="G13" s="30"/>
      <x:c r="H13" s="31"/>
      <x:c r="I13" s="31" t="str">
        <x:v>Мгновенно убивает обычного врага. Боссы исключены.</x:v>
      </x:c>
    </x:row>
    <x:row r="14" ht="72" customHeight="1">
      <x:c r="A14" s="29" t="str">
        <x:v>Цирцея: Огненный залп</x:v>
      </x:c>
      <x:c r="B14" s="29" t="str">
        <x:v>Каждая базовая атака</x:v>
      </x:c>
      <x:c r="C14" s="30"/>
      <x:c r="D14" s="33" t="n">
        <x:v>0.1</x:v>
      </x:c>
      <x:c r="E14" s="30"/>
      <x:c r="F14" s="30" t="n">
        <x:v>3</x:v>
      </x:c>
      <x:c r="G14" s="30" t="n">
        <x:v>20</x:v>
      </x:c>
      <x:c r="H14" s="34" t="n">
        <x:f>F14*G14</x:f>
        <x:v>60</x:v>
      </x:c>
      <x:c r="I14" s="29" t="str">
        <x:v>Базово 3 × 20. Бонус урона оружия не добавляется; ярость и штрафы магии Цирцеи применяются.</x:v>
      </x:c>
    </x:row>
    <x:row r="15" ht="72" customHeight="1">
      <x:c r="A15" s="31" t="str">
        <x:v>Ахилл: Обезглавливание</x:v>
      </x:c>
      <x:c r="B15" s="31" t="str">
        <x:v>По таймеру</x:v>
      </x:c>
      <x:c r="C15" s="30" t="n">
        <x:v>45</x:v>
      </x:c>
      <x:c r="D15" s="33"/>
      <x:c r="E15" s="30"/>
      <x:c r="F15" s="30"/>
      <x:c r="G15" s="30"/>
      <x:c r="H15" s="31"/>
      <x:c r="I15" s="31" t="str">
        <x:v>Мгновенно убивает обычного врага. Боссы исключены.</x:v>
      </x:c>
    </x:row>
    <x:row r="16" ht="72" customHeight="1">
      <x:c r="A16" s="29" t="str">
        <x:v>Ахилл: Уклонение</x:v>
      </x:c>
      <x:c r="B16" s="29" t="str">
        <x:v>Входящая атака</x:v>
      </x:c>
      <x:c r="C16" s="30"/>
      <x:c r="D16" s="33" t="n">
        <x:v>0.25</x:v>
      </x:c>
      <x:c r="E16" s="30"/>
      <x:c r="F16" s="30"/>
      <x:c r="G16" s="30"/>
      <x:c r="H16" s="29"/>
      <x:c r="I16" s="29" t="str">
        <x:v>Отмена входящей атаки при успешном броске.</x:v>
      </x:c>
    </x:row>
    <x:row r="17" ht="72" customHeight="1">
      <x:c r="A17" s="31" t="str">
        <x:v>Ахилл: Нож из сапога</x:v>
      </x:c>
      <x:c r="B17" s="31" t="str">
        <x:v>Каждый базовый удар</x:v>
      </x:c>
      <x:c r="C17" s="30"/>
      <x:c r="D17" s="33" t="n">
        <x:v>0.05</x:v>
      </x:c>
      <x:c r="E17" s="30"/>
      <x:c r="F17" s="30"/>
      <x:c r="G17" s="30"/>
      <x:c r="H17" s="31"/>
      <x:c r="I17" s="31" t="str">
        <x:v>Мгновенно убивает ближайшего обычного врага. Боссы исключены.</x:v>
      </x:c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8" customHeight="1">
      <x:c r="A20" s="28" t="str">
        <x:v>Параметры перемещения и боя</x:v>
      </x:c>
      <x:c r="B20" s="28"/>
      <x:c r="C20" s="28"/>
      <x:c r="D20" s="28"/>
      <x:c r="E20" s="28"/>
      <x:c r="F20" s="28"/>
      <x:c r="G20" s="28"/>
      <x:c r="H20" s="28"/>
      <x:c r="I20" s="28"/>
    </x:row>
    <x:row r="21" ht="42" customHeight="1">
      <x:c r="A21" s="14" t="str">
        <x:v>Параметр</x:v>
      </x:c>
      <x:c r="B21" s="15" t="str">
        <x:v>Значение</x:v>
      </x:c>
      <x:c r="C21" s="16" t="str">
        <x:v>Единица</x:v>
      </x:c>
      <x:c r="D21" s="2"/>
      <x:c r="E21" s="2"/>
      <x:c r="F21" s="139" t="str">
        <x:v>Герой</x:v>
      </x:c>
      <x:c r="G21" s="139" t="str">
        <x:v>Лечение, HP / с</x:v>
      </x:c>
      <x:c r="H21" s="139" t="str">
        <x:v>Скорость, ед./с</x:v>
      </x:c>
      <x:c r="I21" s="2"/>
    </x:row>
    <x:row r="22" ht="34" customHeight="1">
      <x:c r="A22" s="29" t="str">
        <x:v>Возрождение</x:v>
      </x:c>
      <x:c r="B22" s="21" t="n">
        <x:v>60</x:v>
      </x:c>
      <x:c r="C22" s="18" t="str">
        <x:v>с</x:v>
      </x:c>
      <x:c r="D22" s="2"/>
      <x:c r="E22" s="2"/>
      <x:c r="F22" s="2" t="str">
        <x:v>Цирцея</x:v>
      </x:c>
      <x:c r="G22" s="114" t="n">
        <x:f>$C$6*$B$31</x:f>
        <x:v>12.5</x:v>
      </x:c>
      <x:c r="H22" s="144" t="n">
        <x:v>54</x:v>
      </x:c>
      <x:c r="I22" s="2"/>
    </x:row>
    <x:row r="23" ht="34" customHeight="1">
      <x:c r="A23" s="31" t="str">
        <x:v>Дальность Цирцеи</x:v>
      </x:c>
      <x:c r="B23" s="21" t="n">
        <x:v>180</x:v>
      </x:c>
      <x:c r="C23" s="20" t="str">
        <x:v>ед.</x:v>
      </x:c>
      <x:c r="D23" s="2"/>
      <x:c r="E23" s="2"/>
      <x:c r="F23" s="2" t="str">
        <x:v>Ахилл</x:v>
      </x:c>
      <x:c r="G23" s="114" t="n">
        <x:f>$C$7*$B$31</x:f>
        <x:v>17.5</x:v>
      </x:c>
      <x:c r="H23" s="144" t="n">
        <x:v>87.75</x:v>
      </x:c>
      <x:c r="I23" s="2"/>
    </x:row>
    <x:row r="24" ht="34" customHeight="1">
      <x:c r="A24" s="29" t="str">
        <x:v>Дальность Ахилла</x:v>
      </x:c>
      <x:c r="B24" s="21" t="n">
        <x:v>46</x:v>
      </x:c>
      <x:c r="C24" s="18" t="str">
        <x:v>ед.</x:v>
      </x:c>
      <x:c r="D24" s="2"/>
      <x:c r="E24" s="2"/>
      <x:c r="F24" s="2"/>
      <x:c r="G24" s="2"/>
      <x:c r="H24" s="2"/>
      <x:c r="I24" s="2"/>
    </x:row>
    <x:row r="25" ht="34" customHeight="1">
      <x:c r="A25" s="31" t="str">
        <x:v>Дальность ножа</x:v>
      </x:c>
      <x:c r="B25" s="21" t="n">
        <x:v>180</x:v>
      </x:c>
      <x:c r="C25" s="20" t="str">
        <x:v>ед.</x:v>
      </x:c>
      <x:c r="D25" s="2"/>
      <x:c r="E25" s="2"/>
      <x:c r="F25" s="2"/>
      <x:c r="G25" s="2"/>
      <x:c r="H25" s="2"/>
      <x:c r="I25" s="2"/>
    </x:row>
    <x:row r="26" ht="34" customHeight="1">
      <x:c r="A26" s="29" t="str">
        <x:v>Общая база скорости</x:v>
      </x:c>
      <x:c r="B26" s="21" t="n">
        <x:v>135</x:v>
      </x:c>
      <x:c r="C26" s="18" t="str">
        <x:v>ед./с</x:v>
      </x:c>
      <x:c r="D26" s="2"/>
      <x:c r="E26" s="2"/>
      <x:c r="F26" s="2"/>
      <x:c r="G26" s="2"/>
      <x:c r="H26" s="2"/>
      <x:c r="I26" s="2"/>
    </x:row>
    <x:row r="27" ht="34" customHeight="1">
      <x:c r="A27" s="31" t="str">
        <x:v>Скорость снаряда</x:v>
      </x:c>
      <x:c r="B27" s="21" t="n">
        <x:v>360</x:v>
      </x:c>
      <x:c r="C27" s="20" t="str">
        <x:v>ед./с</x:v>
      </x:c>
      <x:c r="D27" s="2"/>
      <x:c r="E27" s="2"/>
      <x:c r="F27" s="2"/>
      <x:c r="G27" s="2"/>
      <x:c r="H27" s="2"/>
      <x:c r="I27" s="2"/>
    </x:row>
    <x:row r="28" ht="34" customHeight="1">
      <x:c r="A28" s="29" t="str">
        <x:v>Атака врага вблизи</x:v>
      </x:c>
      <x:c r="B28" s="21" t="n">
        <x:v>38</x:v>
      </x:c>
      <x:c r="C28" s="18" t="str">
        <x:v>ед.</x:v>
      </x:c>
      <x:c r="D28" s="2"/>
      <x:c r="E28" s="2"/>
      <x:c r="F28" s="2"/>
      <x:c r="G28" s="2"/>
      <x:c r="H28" s="2"/>
      <x:c r="I28" s="2"/>
    </x:row>
    <x:row r="29" ht="34" customHeight="1">
      <x:c r="A29" s="31" t="str">
        <x:v>До выхода при старте</x:v>
      </x:c>
      <x:c r="B29" s="21" t="n">
        <x:v>110</x:v>
      </x:c>
      <x:c r="C29" s="20" t="str">
        <x:v>ед.</x:v>
      </x:c>
      <x:c r="D29" s="2"/>
      <x:c r="E29" s="2"/>
      <x:c r="F29" s="2"/>
      <x:c r="G29" s="2"/>
      <x:c r="H29" s="2"/>
      <x:c r="I29" s="2"/>
    </x:row>
    <x:row r="30" ht="34" customHeight="1">
      <x:c r="A30" s="2" t="str">
        <x:v>Покой до лечения</x:v>
      </x:c>
      <x:c r="B30" s="107" t="n">
        <x:v>4</x:v>
      </x:c>
      <x:c r="C30" s="2" t="str">
        <x:v>с</x:v>
      </x:c>
      <x:c r="D30" s="2"/>
      <x:c r="E30" s="2"/>
      <x:c r="F30" s="2"/>
      <x:c r="G30" s="2"/>
      <x:c r="H30" s="2"/>
      <x:c r="I30" s="2"/>
    </x:row>
    <x:row r="31" ht="34" customHeight="1">
      <x:c r="A31" s="2" t="str">
        <x:v>Лечение от max HP</x:v>
      </x:c>
      <x:c r="B31" s="138" t="n">
        <x:v>0.05</x:v>
      </x:c>
      <x:c r="C31" s="2" t="str">
        <x:v>/ с</x:v>
      </x:c>
      <x:c r="D31" s="2"/>
      <x:c r="E31" s="2"/>
      <x:c r="F31" s="2"/>
      <x:c r="G31" s="2"/>
      <x:c r="H31" s="2"/>
      <x:c r="I31" s="2"/>
    </x:row>
    <x:row r="32" ht="24" customHeight="1">
      <x:c r="A32" s="32" t="str">
        <x:v>Управление: выбрать героя мышью, Space или 2; затем указать точку перемещения щелчком.</x:v>
      </x:c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32" t="str">
        <x:v>Возрождение обычно через 60 с, с Aegis of Dawn — через 3 с. Копия от зеркала не воскрешается.</x:v>
      </x:c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32" t="str">
        <x:v>Инвентарь доступен только из главного меню. У каждого героя 6 слотов брони, оружие и артефакт.</x:v>
      </x:c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32" t="str">
        <x:v>Источник: Игра.md, уточнения пользователя и параметры игры версии 0.6.1.</x:v>
      </x:c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32" t="str">
        <x:v>Лечение начинается после 4 с без движения, атак, применения умений, входящего урона и оглушения.</x:v>
      </x:c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32" t="str">
        <x:v>Перезарядка синей жабы отсчитывается после успешного превращения. Неудачный бросок не запускает таймер.</x:v>
      </x:c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32" t="str">
        <x:v>135 ед./с — общая база для справки. Фактическая скорость: Цирцея 54 ед./с, Ахилл 87,75 ед./с.</x:v>
      </x:c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0" customHeight="1">
      <x:c r="A41" s="171" t="str">
        <x:v>Мана и пример Common-комплекта</x:v>
      </x:c>
      <x:c r="B41" s="171"/>
      <x:c r="C41" s="171"/>
      <x:c r="D41" s="171"/>
      <x:c r="E41" s="171"/>
      <x:c r="F41" s="171"/>
      <x:c r="G41" s="171"/>
      <x:c r="H41" s="171"/>
      <x:c r="I41" s="171"/>
    </x:row>
    <x:row r="42" ht="46" customHeight="1">
      <x:c r="A42" s="180" t="str">
        <x:v>Герой</x:v>
      </x:c>
      <x:c r="B42" s="181" t="str">
        <x:v>Мана базовая</x:v>
      </x:c>
      <x:c r="C42" s="181" t="str">
        <x:v>Мана / с</x:v>
      </x:c>
      <x:c r="D42" s="181" t="str">
        <x:v>Мана с комплектом</x:v>
      </x:c>
      <x:c r="E42" s="181" t="str">
        <x:v>Мана / с с комплектом</x:v>
      </x:c>
      <x:c r="F42" s="182" t="str">
        <x:v>Цена навыка с оружием</x:v>
      </x:c>
    </x:row>
    <x:row r="43" ht="32" customHeight="1">
      <x:c r="A43" s="233" t="str">
        <x:v>Цирцея</x:v>
      </x:c>
      <x:c r="B43" s="243" t="n">
        <x:v>100</x:v>
      </x:c>
      <x:c r="C43" s="245" t="n">
        <x:v>1</x:v>
      </x:c>
      <x:c r="D43" s="244" t="n">
        <x:f>B43+SUM('Экипировка'!F42:F47)</x:f>
        <x:v>130</x:v>
      </x:c>
      <x:c r="E43" s="246" t="n">
        <x:f>C43+SUM('Экипировка'!G42:G47)</x:f>
        <x:v>1.3</x:v>
      </x:c>
      <x:c r="F43" s="244" t="n">
        <x:f>'Навыки'!E6*(1-'Экипировка'!H67)</x:f>
        <x:v>90</x:v>
      </x:c>
    </x:row>
    <x:row r="44" ht="32" customHeight="1">
      <x:c r="A44" s="235" t="str">
        <x:v>Ахилл</x:v>
      </x:c>
      <x:c r="B44" s="243" t="n">
        <x:v>100</x:v>
      </x:c>
      <x:c r="C44" s="245" t="n">
        <x:v>1</x:v>
      </x:c>
      <x:c r="D44" s="244" t="n">
        <x:f>B44+SUM('Экипировка'!F42:F47)</x:f>
        <x:v>130</x:v>
      </x:c>
      <x:c r="E44" s="246" t="n">
        <x:f>C44+SUM('Экипировка'!G42:G47)</x:f>
        <x:v>1.3</x:v>
      </x:c>
      <x:c r="F44" s="244" t="n">
        <x:f>'Навыки'!E8*(1-'Экипировка'!H67)</x:f>
        <x:v>90</x:v>
      </x:c>
    </x:row>
    <x:row r="46">
      <x:c r="A46" s="125" t="str">
        <x:v>Пример для обоих героев: полный Common-шёлк и Common-посох. Предметы надеваются вручную; тип атаки сохраняется.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14F4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.75" hidden="0" customWidth="1"/>
    <x:col min="2" max="2" width="11.25" hidden="0" customWidth="1"/>
    <x:col min="3" max="3" width="12.5" hidden="0" customWidth="1"/>
    <x:col min="4" max="4" width="14.380000114440918" hidden="0" customWidth="1"/>
    <x:col min="5" max="5" width="12.5" hidden="0" customWidth="1"/>
    <x:col min="6" max="6" width="14.380000114440918" hidden="0" customWidth="1"/>
    <x:col min="7" max="7" width="13.75" hidden="0" customWidth="1"/>
    <x:col min="8" max="8" width="12.5" hidden="0" customWidth="1"/>
    <x:col min="9" max="9" width="36.880001068115234" hidden="0" customWidth="1"/>
  </x:cols>
  <x:sheetData>
    <x:row r="1" ht="36" customHeight="1">
      <x:c r="A1" s="3" t="str">
        <x:v>Скелеты — характеристики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32" t="str">
        <x:v>Skeleton Cemetry. Все типы используют первый уровень врагов; характеристики не растут с номером волны.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66" t="str">
        <x:v>Тип</x:v>
      </x:c>
      <x:c r="B5" s="67" t="str">
        <x:v>HP</x:v>
      </x:c>
      <x:c r="C5" s="67" t="str">
        <x:v>Урон / удар</x:v>
      </x:c>
      <x:c r="D5" s="67" t="str">
        <x:v>Интервал, с</x:v>
      </x:c>
      <x:c r="E5" s="67" t="str">
        <x:v>Базовый DPS</x:v>
      </x:c>
      <x:c r="F5" s="67" t="str">
        <x:v>Скорость, ед./с</x:v>
      </x:c>
      <x:c r="G5" s="67" t="str">
        <x:v>Физ. броня</x:v>
      </x:c>
      <x:c r="H5" s="67" t="str">
        <x:v>Золото</x:v>
      </x:c>
      <x:c r="I5" s="68" t="str">
        <x:v>Особенность</x:v>
      </x:c>
    </x:row>
    <x:row r="6" ht="61" customHeight="1">
      <x:c r="A6" s="75" t="str">
        <x:v>Обычный скелет</x:v>
      </x:c>
      <x:c r="B6" s="145" t="n">
        <x:v>25</x:v>
      </x:c>
      <x:c r="C6" s="79" t="n">
        <x:v>5</x:v>
      </x:c>
      <x:c r="D6" s="80" t="n">
        <x:v>1</x:v>
      </x:c>
      <x:c r="E6" s="81" t="n">
        <x:f>C6/D6</x:f>
        <x:v>5</x:v>
      </x:c>
      <x:c r="F6" s="80" t="n">
        <x:v>31</x:v>
      </x:c>
      <x:c r="G6" s="83" t="n">
        <x:v>0</x:v>
      </x:c>
      <x:c r="H6" s="79" t="n">
        <x:v>2</x:v>
      </x:c>
      <x:c r="I6" s="75" t="str">
        <x:v>Базовый скелет.</x:v>
      </x:c>
    </x:row>
    <x:row r="7" ht="61" customHeight="1">
      <x:c r="A7" s="78" t="str">
        <x:v>Скелет ниндзя</x:v>
      </x:c>
      <x:c r="B7" s="145" t="n">
        <x:v>30</x:v>
      </x:c>
      <x:c r="C7" s="79" t="n">
        <x:v>5</x:v>
      </x:c>
      <x:c r="D7" s="80" t="n">
        <x:v>1</x:v>
      </x:c>
      <x:c r="E7" s="81" t="n">
        <x:f>C7/D7</x:f>
        <x:v>5</x:v>
      </x:c>
      <x:c r="F7" s="80" t="n">
        <x:v>37.200001</x:v>
      </x:c>
      <x:c r="G7" s="83" t="n">
        <x:v>0</x:v>
      </x:c>
      <x:c r="H7" s="79" t="n">
        <x:v>3</x:v>
      </x:c>
      <x:c r="I7" s="78" t="str">
        <x:v>Гарантированно уклоняется от одной стрелы / обычного удара Ахилла. Заряд: первый через 4 с, следующий через 4 с после уклонения.</x:v>
      </x:c>
    </x:row>
    <x:row r="8" ht="61" customHeight="1">
      <x:c r="A8" s="75" t="str">
        <x:v>Скелет Тутанхамон</x:v>
      </x:c>
      <x:c r="B8" s="145" t="n">
        <x:v>30</x:v>
      </x:c>
      <x:c r="C8" s="79" t="n">
        <x:v>15</x:v>
      </x:c>
      <x:c r="D8" s="80" t="n">
        <x:v>1</x:v>
      </x:c>
      <x:c r="E8" s="81" t="n">
        <x:f>C8/D8</x:f>
        <x:v>15</x:v>
      </x:c>
      <x:c r="F8" s="80" t="n">
        <x:v>29.450001</x:v>
      </x:c>
      <x:c r="G8" s="83" t="n">
        <x:v>0</x:v>
      </x:c>
      <x:c r="H8" s="79" t="n">
        <x:v>3</x:v>
      </x:c>
      <x:c r="I8" s="75" t="str">
        <x:v>Мини-мумия: 12 HP. Призыв раз в 8 с; всего до 2 за жизнь, не более 1 живой от этого Тутанхамона.</x:v>
      </x:c>
    </x:row>
    <x:row r="9" ht="61" customHeight="1">
      <x:c r="A9" s="78" t="str">
        <x:v>Скелет гигант</x:v>
      </x:c>
      <x:c r="B9" s="145" t="n">
        <x:v>150</x:v>
      </x:c>
      <x:c r="C9" s="79" t="n">
        <x:v>5</x:v>
      </x:c>
      <x:c r="D9" s="80" t="n">
        <x:v>1</x:v>
      </x:c>
      <x:c r="E9" s="81" t="n">
        <x:f>C9/D9</x:f>
        <x:v>5</x:v>
      </x:c>
      <x:c r="F9" s="80" t="n">
        <x:v>31</x:v>
      </x:c>
      <x:c r="G9" s="83" t="n">
        <x:v>0</x:v>
      </x:c>
      <x:c r="H9" s="79" t="n">
        <x:v>5</x:v>
      </x:c>
      <x:c r="I9" s="78" t="str">
        <x:v>Большой размер. Текущее здоровье указано в столбце HP.</x:v>
      </x:c>
    </x:row>
    <x:row r="10" ht="61" customHeight="1">
      <x:c r="A10" s="75" t="str">
        <x:v>Скелет без ног</x:v>
      </x:c>
      <x:c r="B10" s="145" t="n">
        <x:v>100</x:v>
      </x:c>
      <x:c r="C10" s="79" t="n">
        <x:v>50</x:v>
      </x:c>
      <x:c r="D10" s="80" t="n">
        <x:v>1</x:v>
      </x:c>
      <x:c r="E10" s="81" t="n">
        <x:f>C10/D10</x:f>
        <x:v>50</x:v>
      </x:c>
      <x:c r="F10" s="80" t="n">
        <x:v>7.75</x:v>
      </x:c>
      <x:c r="G10" s="83" t="n">
        <x:v>0</x:v>
      </x:c>
      <x:c r="H10" s="79" t="n">
        <x:v>3</x:v>
      </x:c>
      <x:c r="I10" s="75" t="str">
        <x:v>Укус в ближнем бою: урон в 10 раз выше обычного.</x:v>
      </x:c>
    </x:row>
    <x:row r="11" ht="61" customHeight="1">
      <x:c r="A11" s="78" t="str">
        <x:v>Скелет пират</x:v>
      </x:c>
      <x:c r="B11" s="145" t="n">
        <x:v>100</x:v>
      </x:c>
      <x:c r="C11" s="79" t="n">
        <x:v>5</x:v>
      </x:c>
      <x:c r="D11" s="80" t="n">
        <x:v>1</x:v>
      </x:c>
      <x:c r="E11" s="81" t="n">
        <x:f>C11/D11</x:f>
        <x:v>5</x:v>
      </x:c>
      <x:c r="F11" s="80" t="n">
        <x:v>27.9</x:v>
      </x:c>
      <x:c r="G11" s="83" t="n">
        <x:v>0</x:v>
      </x:c>
      <x:c r="H11" s="79" t="n">
        <x:v>3</x:v>
      </x:c>
      <x:c r="I11" s="78" t="str">
        <x:v>Пистолет раз в 5 с; выстрел в 8 раз сильнее базового удара.</x:v>
      </x:c>
    </x:row>
    <x:row r="12" ht="61" customHeight="1">
      <x:c r="A12" s="75" t="str">
        <x:v>Скелет самурай</x:v>
      </x:c>
      <x:c r="B12" s="104" t="n">
        <x:v>30</x:v>
      </x:c>
      <x:c r="C12" s="79" t="n">
        <x:v>5</x:v>
      </x:c>
      <x:c r="D12" s="80" t="n">
        <x:v>1</x:v>
      </x:c>
      <x:c r="E12" s="81" t="n">
        <x:f>C12/D12</x:f>
        <x:v>5</x:v>
      </x:c>
      <x:c r="F12" s="80" t="n">
        <x:v>23.25</x:v>
      </x:c>
      <x:c r="G12" s="83" t="n">
        <x:v>0</x:v>
      </x:c>
      <x:c r="H12" s="79" t="n">
        <x:v>3</x:v>
      </x:c>
      <x:c r="I12" s="75" t="str">
        <x:v>При каждой ближней атаке — 20% на мгновенное убийство.</x:v>
      </x:c>
    </x:row>
    <x:row r="13" ht="61" customHeight="1">
      <x:c r="A13" s="78" t="str">
        <x:v>Скелет с саркофагом</x:v>
      </x:c>
      <x:c r="B13" s="145" t="n">
        <x:v>75</x:v>
      </x:c>
      <x:c r="C13" s="79" t="n">
        <x:v>5</x:v>
      </x:c>
      <x:c r="D13" s="80" t="n">
        <x:v>1</x:v>
      </x:c>
      <x:c r="E13" s="81" t="n">
        <x:f>C13/D13</x:f>
        <x:v>5</x:v>
      </x:c>
      <x:c r="F13" s="80" t="n">
        <x:v>21.700001</x:v>
      </x:c>
      <x:c r="G13" s="83" t="n">
        <x:v>0</x:v>
      </x:c>
      <x:c r="H13" s="79" t="n">
        <x:v>3</x:v>
      </x:c>
      <x:c r="I13" s="78" t="str">
        <x:v>После смерти появляется одна копия без саркофага с тем же запасом HP. В версии 0.5 — 75 HP.</x:v>
      </x:c>
    </x:row>
    <x:row r="14" ht="61" customHeight="1">
      <x:c r="A14" s="75" t="str">
        <x:v>Скелет T-Rex</x:v>
      </x:c>
      <x:c r="B14" s="145" t="n">
        <x:v>300</x:v>
      </x:c>
      <x:c r="C14" s="79" t="n">
        <x:v>5</x:v>
      </x:c>
      <x:c r="D14" s="80" t="n">
        <x:v>1</x:v>
      </x:c>
      <x:c r="E14" s="81" t="n">
        <x:f>C14/D14</x:f>
        <x:v>5</x:v>
      </x:c>
      <x:c r="F14" s="80" t="n">
        <x:v>18.6</x:v>
      </x:c>
      <x:c r="G14" s="83" t="n">
        <x:v>0</x:v>
      </x:c>
      <x:c r="H14" s="79" t="n">
        <x:v>6</x:v>
      </x:c>
      <x:c r="I14" s="75" t="str">
        <x:v>При каждой ближней атаке — 50% съесть героя.</x:v>
      </x:c>
    </x:row>
    <x:row r="15" ht="61" customHeight="1">
      <x:c r="A15" s="78" t="str">
        <x:v>Скелет в рыцарских доспехах</x:v>
      </x:c>
      <x:c r="B15" s="104" t="n">
        <x:v>40</x:v>
      </x:c>
      <x:c r="C15" s="79" t="n">
        <x:v>5</x:v>
      </x:c>
      <x:c r="D15" s="80" t="n">
        <x:v>1</x:v>
      </x:c>
      <x:c r="E15" s="81" t="n">
        <x:f>C15/D15</x:f>
        <x:v>5</x:v>
      </x:c>
      <x:c r="F15" s="80" t="n">
        <x:v>26.35</x:v>
      </x:c>
      <x:c r="G15" s="83" t="n">
        <x:v>0.5</x:v>
      </x:c>
      <x:c r="H15" s="79" t="n">
        <x:v>3</x:v>
      </x:c>
      <x:c r="I15" s="78" t="str">
        <x:v>Поглощает 50% входящего физического урона.</x:v>
      </x:c>
    </x:row>
    <x:row r="16" ht="61" customHeight="1">
      <x:c r="A16" s="75" t="str">
        <x:v>Скелет колдун</x:v>
      </x:c>
      <x:c r="B16" s="104" t="n">
        <x:v>35</x:v>
      </x:c>
      <x:c r="C16" s="79" t="n">
        <x:v>5</x:v>
      </x:c>
      <x:c r="D16" s="80" t="n">
        <x:v>1</x:v>
      </x:c>
      <x:c r="E16" s="81" t="n">
        <x:f>C16/D16</x:f>
        <x:v>5</x:v>
      </x:c>
      <x:c r="F16" s="80" t="n">
        <x:v>21.700001</x:v>
      </x:c>
      <x:c r="G16" s="83" t="n">
        <x:v>0</x:v>
      </x:c>
      <x:c r="H16" s="79" t="n">
        <x:v>3</x:v>
      </x:c>
      <x:c r="I16" s="75" t="str">
        <x:v>Раз в 4 с бросает 75% на молнию. Попадание оставляет герою 1 HP.</x:v>
      </x:c>
    </x:row>
    <x:row r="17" ht="61" customHeight="1">
      <x:c r="A17" s="78" t="str">
        <x:v>Безумный скелет</x:v>
      </x:c>
      <x:c r="B17" s="145" t="n">
        <x:v>30</x:v>
      </x:c>
      <x:c r="C17" s="79" t="n">
        <x:v>5</x:v>
      </x:c>
      <x:c r="D17" s="80" t="n">
        <x:v>1</x:v>
      </x:c>
      <x:c r="E17" s="81" t="n">
        <x:f>C17/D17</x:f>
        <x:v>5</x:v>
      </x:c>
      <x:c r="F17" s="80" t="n">
        <x:v>77.5</x:v>
      </x:c>
      <x:c r="G17" s="83" t="n">
        <x:v>0</x:v>
      </x:c>
      <x:c r="H17" s="79" t="n">
        <x:v>3</x:v>
      </x:c>
      <x:c r="I17" s="78" t="str">
        <x:v>Урон обычного скелета, скорость в 2,5 раза выше.</x:v>
      </x:c>
    </x:row>
    <x:row r="18" ht="61" customHeight="1">
      <x:c r="A18" s="75" t="str">
        <x:v>Скелет боксёр</x:v>
      </x:c>
      <x:c r="B18" s="104" t="n">
        <x:v>40</x:v>
      </x:c>
      <x:c r="C18" s="87" t="n">
        <x:f>D30</x:f>
        <x:v>0.2</x:v>
      </x:c>
      <x:c r="D18" s="80" t="n">
        <x:v>1</x:v>
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      <x:v>Ближний удар: нокдаун на 10 с и потеря 20% максимального HP.</x:v>
      </x:c>
    </x:row>
    <x:row r="19" ht="61" customHeight="1">
      <x:c r="A19" s="78" t="str">
        <x:v>Босс Скелет</x:v>
      </x:c>
      <x:c r="B19" s="104" t="n">
        <x:v>10000</x:v>
      </x:c>
      <x:c r="C19" s="79" t="n">
        <x:v>5</x:v>
      </x:c>
      <x:c r="D19" s="80" t="n">
        <x:v>1</x:v>
      </x:c>
      <x:c r="E19" s="81" t="n">
        <x:f>C19/D19</x:f>
        <x:v>5</x:v>
      </x:c>
      <x:c r="F19" s="80" t="n">
        <x:v>10.85</x:v>
      </x:c>
      <x:c r="G19" s="83" t="n">
        <x:v>0</x:v>
      </x:c>
      <x:c r="H19" s="79" t="n">
        <x:v>26</x:v>
      </x:c>
      <x:c r="I19" s="78" t="str">
        <x:f>IF($B$40="Да","Полный иммунитет к магии, хексу и замедлению. Скорость ниже обычного скелета на 65%.","Магического иммунитета нет. Скорость ниже обычного скелета на 65%.")</x:f>
        <x:v>Полный иммунитет к магии, хексу и замедлению. Скорость ниже обычного скелета на 65%.</x:v>
      </x:c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30" customHeight="1">
      <x:c r="A22" s="85" t="str">
        <x:v>Параметры особых атак</x:v>
      </x:c>
      <x:c r="B22" s="85"/>
      <x:c r="C22" s="85"/>
      <x:c r="D22" s="85"/>
      <x:c r="E22" s="85"/>
      <x:c r="F22" s="85"/>
      <x:c r="G22" s="85"/>
      <x:c r="H22" s="85"/>
      <x:c r="I22" s="85"/>
    </x:row>
    <x:row r="23" ht="42" customHeight="1">
      <x:c r="A23" s="66" t="str">
        <x:v>Способность</x:v>
      </x:c>
      <x:c r="B23" s="67" t="str">
        <x:v>Период, с</x:v>
      </x:c>
      <x:c r="C23" s="67" t="str">
        <x:v>Шанс</x:v>
      </x:c>
      <x:c r="D23" s="67" t="str">
        <x:v>Урон / доля HP</x:v>
      </x:c>
      <x:c r="E23" s="67" t="str">
        <x:v>Эффект, с</x:v>
      </x:c>
      <x:c r="F23" s="67" t="str">
        <x:v>Дальность</x:v>
      </x:c>
      <x:c r="G23" s="68" t="str">
        <x:v>Триггер</x:v>
      </x:c>
      <x:c r="H23" s="2"/>
      <x:c r="I23" s="2"/>
    </x:row>
    <x:row r="24" ht="43" customHeight="1">
      <x:c r="A24" s="75" t="str">
        <x:v>Ниндзя: уклонение</x:v>
      </x:c>
      <x:c r="B24" s="76" t="n">
        <x:v>4</x:v>
      </x:c>
      <x:c r="C24" s="83"/>
      <x:c r="D24" s="76"/>
      <x:c r="E24" s="76"/>
      <x:c r="F24" s="76"/>
      <x:c r="G24" s="75" t="str">
        <x:v>Стрелы / удар Ахилла</x:v>
      </x:c>
      <x:c r="H24" s="2"/>
      <x:c r="I24" s="2"/>
    </x:row>
    <x:row r="25" ht="43" customHeight="1">
      <x:c r="A25" s="78" t="str">
        <x:v>Тутанхамон: призыв</x:v>
      </x:c>
      <x:c r="B25" s="76" t="n">
        <x:v>8</x:v>
      </x:c>
      <x:c r="C25" s="83"/>
      <x:c r="D25" s="76"/>
      <x:c r="E25" s="76"/>
      <x:c r="F25" s="76"/>
      <x:c r="G25" s="78" t="str">
        <x:v>До 2 за жизнь; 1 живая</x:v>
      </x:c>
      <x:c r="H25" s="2"/>
      <x:c r="I25" s="2"/>
    </x:row>
    <x:row r="26" ht="43" customHeight="1">
      <x:c r="A26" s="75" t="str">
        <x:v>Пират: пистолет</x:v>
      </x:c>
      <x:c r="B26" s="76" t="n">
        <x:v>5</x:v>
      </x:c>
      <x:c r="C26" s="83"/>
      <x:c r="D26" s="76" t="n">
        <x:v>40</x:v>
      </x:c>
      <x:c r="E26" s="76"/>
      <x:c r="F26" s="76" t="n">
        <x:v>180</x:v>
      </x:c>
      <x:c r="G26" s="75" t="str">
        <x:v>Выстрел по герою</x:v>
      </x:c>
      <x:c r="H26" s="2"/>
      <x:c r="I26" s="2"/>
    </x:row>
    <x:row r="27" ht="43" customHeight="1">
      <x:c r="A27" s="78" t="str">
        <x:v>Самурай: катана</x:v>
      </x:c>
      <x:c r="B27" s="76"/>
      <x:c r="C27" s="83" t="n">
        <x:v>0.2</x:v>
      </x:c>
      <x:c r="D27" s="76"/>
      <x:c r="E27" s="76"/>
      <x:c r="F27" s="76"/>
      <x:c r="G27" s="78" t="str">
        <x:v>Каждая ближняя атака</x:v>
      </x:c>
      <x:c r="H27" s="2"/>
      <x:c r="I27" s="2"/>
    </x:row>
    <x:row r="28" ht="43" customHeight="1">
      <x:c r="A28" s="75" t="str">
        <x:v>T-Rex: пожирание</x:v>
      </x:c>
      <x:c r="B28" s="76"/>
      <x:c r="C28" s="83" t="n">
        <x:v>0.5</x:v>
      </x:c>
      <x:c r="D28" s="76"/>
      <x:c r="E28" s="76"/>
      <x:c r="F28" s="76"/>
      <x:c r="G28" s="75" t="str">
        <x:v>Каждая ближняя атака</x:v>
      </x:c>
      <x:c r="H28" s="2"/>
      <x:c r="I28" s="2"/>
    </x:row>
    <x:row r="29" ht="43" customHeight="1">
      <x:c r="A29" s="78" t="str">
        <x:v>Колдун: молния</x:v>
      </x:c>
      <x:c r="B29" s="76" t="n">
        <x:v>4</x:v>
      </x:c>
      <x:c r="C29" s="83" t="n">
        <x:v>0.75</x:v>
      </x:c>
      <x:c r="D29" s="76"/>
      <x:c r="E29" s="76"/>
      <x:c r="F29" s="76"/>
      <x:c r="G29" s="78" t="str">
        <x:v>Случайная доступная цель</x:v>
      </x:c>
      <x:c r="H29" s="2"/>
      <x:c r="I29" s="2"/>
    </x:row>
    <x:row r="30" ht="43" customHeight="1">
      <x:c r="A30" s="75" t="str">
        <x:v>Боксёр: нокдаун</x:v>
      </x:c>
      <x:c r="B30" s="76"/>
      <x:c r="C30" s="83" t="n">
        <x:v>1</x:v>
      </x:c>
      <x:c r="D30" s="83" t="n">
        <x:v>0.2</x:v>
      </x:c>
      <x:c r="E30" s="76" t="n">
        <x:v>10</x:v>
      </x:c>
      <x:c r="F30" s="76"/>
      <x:c r="G30" s="75" t="str">
        <x:v>Каждая успешная ближняя атака</x:v>
      </x:c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32" t="str">
        <x:v>Магия, атаки по площади, хекс и другие умения героев обходят уклонение ниндзи и не расходуют его заряд.</x:v>
      </x:c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32" t="str">
        <x:v>Боксёр отнимает 20% максимального HP без дополнительного фиксированного урона; его DPS зависит от цели.</x:v>
      </x:c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32" t="str">
        <x:v>Мини-мумии: 12 HP, 5 урона, 1 золото. Копии также дают 1 золото и имеют HP саркофага. Призывы не входят в план волн.</x:v>
      </x:c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32" t="str">
        <x:v>Золото: обычный — 2; особые — 3; гигант — 5; T-Rex — 6; босс — 26.</x:v>
      </x:c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32" t="str">
        <x:v>Источник: «Скелеты + волны», уточнения пользователя и параметры игры версии 0.6.2.</x:v>
      </x:c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32" t="str">
        <x:v>Башни со стражами относятся к будущему этапу. Сейчас вражеские умения действуют на героя.</x:v>
      </x:c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32" t="str">
        <x:v>Ниндзя, Тутанхамон и безумный: 30 HP — допущение по прежнему правилу, что HP особых выше базового.</x:v>
      </x:c>
      <x:c r="B38" s="2"/>
      <x:c r="C38" s="2"/>
      <x:c r="D38" s="2"/>
      <x:c r="E38" s="2"/>
      <x:c r="F38" s="2"/>
      <x:c r="G38" s="2"/>
      <x:c r="H38" s="2"/>
      <x:c r="I38" s="2"/>
    </x:row>
    <x:row r="39" ht="42" customHeight="1">
      <x:c r="A39" s="112" t="str">
        <x:v>Иммунитет босса</x:v>
      </x:c>
      <x:c r="B39" s="112" t="str">
        <x:v>Включён</x:v>
      </x:c>
      <x:c r="C39" s="2"/>
      <x:c r="D39" s="2"/>
      <x:c r="E39" s="2"/>
      <x:c r="F39" s="2"/>
      <x:c r="G39" s="2"/>
      <x:c r="H39" s="2"/>
      <x:c r="I39" s="2"/>
    </x:row>
    <x:row r="40" ht="42" customHeight="1">
      <x:c r="A40" s="115" t="str">
        <x:v>Магия, хекс и замедление</x:v>
      </x:c>
      <x:c r="B40" s="116" t="str">
        <x:v>Да</x:v>
      </x:c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30" customHeight="1">
      <x:c r="A42" s="248" t="str">
        <x:v>Мини-мумии Тутанхамона</x:v>
      </x:c>
      <x:c r="B42" s="248"/>
      <x:c r="C42" s="248"/>
      <x:c r="D42" s="248"/>
      <x:c r="E42" s="248"/>
      <x:c r="F42" s="248"/>
      <x:c r="G42" s="248"/>
      <x:c r="H42" s="248"/>
      <x:c r="I42" s="248"/>
    </x:row>
    <x:row r="43" ht="38" customHeight="1">
      <x:c r="A43" s="251" t="str">
        <x:v>Параметр</x:v>
      </x:c>
      <x:c r="B43" s="251" t="str">
        <x:v>Значение</x:v>
      </x:c>
      <x:c r="C43" s="251" t="str">
        <x:v>Как работает</x:v>
      </x:c>
      <x:c r="D43" s="251"/>
      <x:c r="E43" s="251"/>
      <x:c r="F43" s="251"/>
      <x:c r="G43" s="251"/>
      <x:c r="H43" s="251"/>
      <x:c r="I43" s="251"/>
    </x:row>
    <x:row r="44" ht="36" customHeight="1">
      <x:c r="A44" s="253" t="str">
        <x:v>Интервал призыва</x:v>
      </x:c>
      <x:c r="B44" s="259" t="n">
        <x:v>8</x:v>
      </x:c>
      <x:c r="C44" s="253" t="str">
        <x:v>Секунды; интервалы не накапливаются для одновременного выхода.</x:v>
      </x:c>
      <x:c r="D44" s="253"/>
      <x:c r="E44" s="253"/>
      <x:c r="F44" s="253"/>
      <x:c r="G44" s="253"/>
      <x:c r="H44" s="253"/>
      <x:c r="I44" s="253"/>
    </x:row>
    <x:row r="45" ht="36" customHeight="1">
      <x:c r="A45" s="257" t="str">
        <x:v>Первый призыв</x:v>
      </x:c>
      <x:c r="B45" s="260" t="n">
        <x:f>B44</x:f>
        <x:v>8</x:v>
      </x:c>
      <x:c r="C45" s="257" t="str">
        <x:v>Через 8 с после появления Тутанхамона, если он ещё жив.</x:v>
      </x:c>
      <x:c r="D45" s="257"/>
      <x:c r="E45" s="257"/>
      <x:c r="F45" s="257"/>
      <x:c r="G45" s="257"/>
      <x:c r="H45" s="257"/>
      <x:c r="I45" s="257"/>
    </x:row>
    <x:row r="46" ht="36" customHeight="1">
      <x:c r="A46" s="253" t="str">
        <x:v>Всего за жизнь</x:v>
      </x:c>
      <x:c r="B46" s="259" t="n">
        <x:v>2</x:v>
      </x:c>
      <x:c r="C46" s="253" t="str">
        <x:v>Не более 2 мини-мумий суммарно от одного Тутанхамона.</x:v>
      </x:c>
      <x:c r="D46" s="253"/>
      <x:c r="E46" s="253"/>
      <x:c r="F46" s="253"/>
      <x:c r="G46" s="253"/>
      <x:c r="H46" s="253"/>
      <x:c r="I46" s="253"/>
    </x:row>
    <x:row r="47" ht="36" customHeight="1">
      <x:c r="A47" s="257" t="str">
        <x:v>Живых одновременно</x:v>
      </x:c>
      <x:c r="B47" s="259" t="n">
        <x:v>1</x:v>
      </x:c>
      <x:c r="C47" s="257" t="str">
        <x:v>Не более 1 мини-мумии этого родителя, включая временно превращённую в жабу.</x:v>
      </x:c>
      <x:c r="D47" s="257"/>
      <x:c r="E47" s="257"/>
      <x:c r="F47" s="257"/>
      <x:c r="G47" s="257"/>
      <x:c r="H47" s="257"/>
      <x:c r="I47" s="257"/>
    </x:row>
    <x:row r="48" ht="36" customHeight="1">
      <x:c r="A48" s="253" t="str">
        <x:v>HP мини-мумии</x:v>
      </x:c>
      <x:c r="B48" s="259" t="n">
        <x:v>12</x:v>
      </x:c>
      <x:c r="C48" s="253" t="str">
        <x:v>Обычный скелет в исходном составе по-прежнему имеет 25 HP.</x:v>
      </x:c>
      <x:c r="D48" s="253"/>
      <x:c r="E48" s="253"/>
      <x:c r="F48" s="253"/>
      <x:c r="G48" s="253"/>
      <x:c r="H48" s="253"/>
      <x:c r="I48" s="253"/>
    </x:row>
    <x:row r="49" ht="36" customHeight="1">
      <x:c r="A49" s="257" t="str">
        <x:v>Урон мини-мумии</x:v>
      </x:c>
      <x:c r="B49" s="260" t="n">
        <x:f>C6</x:f>
        <x:v>5</x:v>
      </x:c>
      <x:c r="C49" s="257" t="str">
        <x:v>Базовый урон обычного скелета; атака раз в 1 с.</x:v>
      </x:c>
      <x:c r="D49" s="257"/>
      <x:c r="E49" s="257"/>
      <x:c r="F49" s="257"/>
      <x:c r="G49" s="257"/>
      <x:c r="H49" s="257"/>
      <x:c r="I49" s="257"/>
    </x:row>
    <x:row r="50" ht="36" customHeight="1">
      <x:c r="A50" s="253" t="str">
        <x:v>Золото за мини-мумию</x:v>
      </x:c>
      <x:c r="B50" s="259" t="n">
        <x:v>1</x:v>
      </x:c>
      <x:c r="C50" s="253" t="str">
        <x:v>Дополнительно к плановому золоту; только за фактическое убийство.</x:v>
      </x:c>
      <x:c r="D50" s="253"/>
      <x:c r="E50" s="253"/>
      <x:c r="F50" s="253"/>
      <x:c r="G50" s="253"/>
      <x:c r="H50" s="253"/>
      <x:c r="I50" s="253"/>
    </x:row>
    <x:row r="51" ht="30" customHeight="1">
      <x:c r="A51" s="261" t="str">
        <x:v>Второй призыв возможен после гибели или ухода первой мини-мумии и следующего интервала. Пропущенные призывы не копятся.</x:v>
      </x:c>
      <x:c r="B51" s="261"/>
      <x:c r="C51" s="261"/>
      <x:c r="D51" s="261"/>
      <x:c r="E51" s="261"/>
      <x:c r="F51" s="261"/>
      <x:c r="G51" s="261"/>
      <x:c r="H51" s="261"/>
      <x:c r="I51" s="261"/>
    </x:row>
    <x:row r="52" ht="30" customHeight="1">
      <x:c r="A52" s="261" t="str">
        <x:v>Источник: balance.json и экспорт игры 0.6.2. Лимиты действуют на всех волнах; число и HP призывов не входят в плановые итоги.</x:v>
      </x:c>
      <x:c r="B52" s="261"/>
      <x:c r="C52" s="261"/>
      <x:c r="D52" s="261"/>
      <x:c r="E52" s="261"/>
      <x:c r="F52" s="261"/>
      <x:c r="G52" s="261"/>
      <x:c r="H52" s="261"/>
      <x:c r="I52" s="261"/>
    </x:row>
  </x:sheetData>
  <x:mergeCells>
    <x:mergeCell ref="A42:I42"/>
    <x:mergeCell ref="C43:I43"/>
    <x:mergeCell ref="C44:I44"/>
    <x:mergeCell ref="C45:I45"/>
    <x:mergeCell ref="C46:I46"/>
    <x:mergeCell ref="C47:I47"/>
    <x:mergeCell ref="C48:I48"/>
    <x:mergeCell ref="C49:I49"/>
    <x:mergeCell ref="C50:I50"/>
    <x:mergeCell ref="A51:I51"/>
    <x:mergeCell ref="A52:I5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14F4A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.380000114440918" hidden="0" customWidth="1"/>
    <x:col min="2" max="2" width="10.630000114440918" hidden="0" customWidth="1"/>
    <x:col min="3" max="3" width="14.380000114440918" hidden="0" customWidth="1"/>
    <x:col min="4" max="4" width="16.8799991607666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  <x:col min="19" max="19" width="17.5" hidden="0" customWidth="1"/>
    <x:col min="20" max="20" width="13.130000114440918" hidden="0" customWidth="1"/>
  </x:cols>
  <x:sheetData>
    <x:row r="1" ht="36" customHeight="1">
      <x:c r="A1" s="3" t="str">
        <x:v>Skeleton Cemetry — 20 волн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4" customHeight="1">
      <x:c r="A3" s="32" t="str">
        <x:v>Состав плановых выходов. Мини-мумии и вторые жизни скелетов с саркофагом появляются дополнительно.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54" customHeight="1">
      <x:c r="A5" s="128" t="str">
        <x:v>Волна</x:v>
      </x:c>
      <x:c r="B5" s="129" t="str">
        <x:v>Всего</x:v>
      </x:c>
      <x:c r="C5" s="129" t="str">
        <x:v>HP плановых</x:v>
      </x:c>
      <x:c r="D5" s="129" t="str">
        <x:v>Золото: план + бонус</x:v>
      </x:c>
      <x:c r="E5" s="129" t="str">
        <x:v>Обычный</x:v>
      </x:c>
      <x:c r="F5" s="129" t="str">
        <x:v>Ниндзя</x:v>
      </x:c>
      <x:c r="G5" s="129" t="str">
        <x:v>Тутанхамон</x:v>
      </x:c>
      <x:c r="H5" s="129" t="str">
        <x:v>Гигант</x:v>
      </x:c>
      <x:c r="I5" s="129" t="str">
        <x:v>Без ног</x:v>
      </x:c>
      <x:c r="J5" s="129" t="str">
        <x:v>Пират</x:v>
      </x:c>
      <x:c r="K5" s="129" t="str">
        <x:v>Самурай</x:v>
      </x:c>
      <x:c r="L5" s="129" t="str">
        <x:v>Саркофаг</x:v>
      </x:c>
      <x:c r="M5" s="129" t="str">
        <x:v>T-Rex</x:v>
      </x:c>
      <x:c r="N5" s="129" t="str">
        <x:v>Рыцарь</x:v>
      </x:c>
      <x:c r="O5" s="129" t="str">
        <x:v>Колдун</x:v>
      </x:c>
      <x:c r="P5" s="129" t="str">
        <x:v>Безумный</x:v>
      </x:c>
      <x:c r="Q5" s="129" t="str">
        <x:v>Боксёр</x:v>
      </x:c>
      <x:c r="R5" s="130" t="str">
        <x:v>Босс</x:v>
      </x:c>
      <x:c r="S5" s="112" t="str">
        <x:v>Вышло для вызова</x:v>
      </x:c>
      <x:c r="T5" s="112" t="str">
        <x:v>Макс. бонус</x:v>
      </x:c>
    </x:row>
    <x:row r="6" ht="30" customHeight="1">
      <x:c r="A6" s="91" t="n">
        <x:v>1</x:v>
      </x:c>
      <x:c r="B6" s="94" t="n">
        <x:f>SUM(E6:R6)</x:f>
        <x:v>50</x:v>
      </x:c>
      <x:c r="C6" s="94" t="n">
        <x:f>SUMPRODUCT(E6:R6,$E$29:$R$29)</x:f>
        <x:v>1250</x:v>
      </x:c>
      <x:c r="D6" s="94" t="n">
        <x:f>SUMPRODUCT(E6:R6,$E$30:$R$30)+'Обзор'!$B$17+A6*'Обзор'!$B$18</x:f>
        <x:v>126</x:v>
      </x:c>
      <x:c r="E6" s="88" t="n">
        <x:v>50</x:v>
      </x:c>
      <x:c r="F6" s="88" t="n">
        <x:v>0</x:v>
      </x:c>
      <x:c r="G6" s="88" t="n">
        <x:v>0</x:v>
      </x:c>
      <x:c r="H6" s="88" t="n">
        <x:v>0</x:v>
      </x:c>
      <x:c r="I6" s="88" t="n">
        <x:v>0</x:v>
      </x:c>
      <x:c r="J6" s="88" t="n">
        <x:v>0</x:v>
      </x:c>
      <x:c r="K6" s="88" t="n">
        <x:v>0</x:v>
      </x:c>
      <x:c r="L6" s="88" t="n">
        <x:v>0</x:v>
      </x:c>
      <x:c r="M6" s="88" t="n">
        <x:v>0</x:v>
      </x:c>
      <x:c r="N6" s="88" t="n">
        <x:v>0</x:v>
      </x:c>
      <x:c r="O6" s="88" t="n">
        <x:v>0</x:v>
      </x:c>
      <x:c r="P6" s="88" t="n">
        <x:v>0</x:v>
      </x:c>
      <x:c r="Q6" s="88" t="n">
        <x:v>0</x:v>
      </x:c>
      <x:c r="R6" s="88" t="n">
        <x:v>0</x:v>
      </x:c>
      <x:c r="S6" s="136" t="n">
        <x:f>ROUNDUP(B6*'Выход врагов'!$B$116,0)</x:f>
        <x:v>30</x:v>
      </x:c>
      <x:c r="T6" s="136" t="n">
        <x:f>'Выход врагов'!$B$117</x:f>
        <x:v>30</x:v>
      </x:c>
    </x:row>
    <x:row r="7" ht="30" customHeight="1">
      <x:c r="A7" s="92" t="n">
        <x:v>2</x:v>
      </x:c>
      <x:c r="B7" s="94" t="n">
        <x:f>SUM(E7:R7)</x:f>
        <x:v>70</x:v>
      </x:c>
      <x:c r="C7" s="94" t="n">
        <x:f>SUMPRODUCT(E7:R7,$E$29:$R$29)</x:f>
        <x:v>1850</x:v>
      </x:c>
      <x:c r="D7" s="94" t="n">
        <x:f>SUMPRODUCT(E7:R7,$E$30:$R$30)+'Обзор'!$B$17+A7*'Обзор'!$B$18</x:f>
        <x:v>190</x:v>
      </x:c>
      <x:c r="E7" s="88" t="n">
        <x:v>50</x:v>
      </x:c>
      <x:c r="F7" s="88" t="n">
        <x:v>20</x:v>
      </x:c>
      <x:c r="G7" s="88" t="n">
        <x:v>0</x:v>
      </x:c>
      <x:c r="H7" s="88" t="n">
        <x:v>0</x:v>
      </x:c>
      <x:c r="I7" s="88" t="n">
        <x:v>0</x:v>
      </x:c>
      <x:c r="J7" s="88" t="n">
        <x:v>0</x:v>
      </x:c>
      <x:c r="K7" s="88" t="n">
        <x:v>0</x:v>
      </x:c>
      <x:c r="L7" s="88" t="n">
        <x:v>0</x:v>
      </x:c>
      <x:c r="M7" s="88" t="n">
        <x:v>0</x:v>
      </x:c>
      <x:c r="N7" s="88" t="n">
        <x:v>0</x:v>
      </x:c>
      <x:c r="O7" s="88" t="n">
        <x:v>0</x:v>
      </x:c>
      <x:c r="P7" s="88" t="n">
        <x:v>0</x:v>
      </x:c>
      <x:c r="Q7" s="88" t="n">
        <x:v>0</x:v>
      </x:c>
      <x:c r="R7" s="88" t="n">
        <x:v>0</x:v>
      </x:c>
      <x:c r="S7" s="136" t="n">
        <x:f>ROUNDUP(B7*'Выход врагов'!$B$116,0)</x:f>
        <x:v>42</x:v>
      </x:c>
      <x:c r="T7" s="136" t="n">
        <x:f>'Выход врагов'!$B$117</x:f>
        <x:v>30</x:v>
      </x:c>
    </x:row>
    <x:row r="8" ht="30" customHeight="1">
      <x:c r="A8" s="91" t="n">
        <x:v>3</x:v>
      </x:c>
      <x:c r="B8" s="94" t="n">
        <x:f>SUM(E8:R8)</x:f>
        <x:v>75</x:v>
      </x:c>
      <x:c r="C8" s="94" t="n">
        <x:f>SUMPRODUCT(E8:R8,$E$29:$R$29)</x:f>
        <x:v>2000</x:v>
      </x:c>
      <x:c r="D8" s="94" t="n">
        <x:f>SUMPRODUCT(E8:R8,$E$30:$R$30)+'Обзор'!$B$17+A8*'Обзор'!$B$18</x:f>
        <x:v>209</x:v>
      </x:c>
      <x:c r="E8" s="88" t="n">
        <x:v>50</x:v>
      </x:c>
      <x:c r="F8" s="88" t="n">
        <x:v>0</x:v>
      </x:c>
      <x:c r="G8" s="88" t="n">
        <x:v>25</x:v>
      </x:c>
      <x:c r="H8" s="88" t="n">
        <x:v>0</x:v>
      </x:c>
      <x:c r="I8" s="88" t="n">
        <x:v>0</x:v>
      </x:c>
      <x:c r="J8" s="88" t="n">
        <x:v>0</x:v>
      </x:c>
      <x:c r="K8" s="88" t="n">
        <x:v>0</x:v>
      </x:c>
      <x:c r="L8" s="88" t="n">
        <x:v>0</x:v>
      </x:c>
      <x:c r="M8" s="88" t="n">
        <x:v>0</x:v>
      </x:c>
      <x:c r="N8" s="88" t="n">
        <x:v>0</x:v>
      </x:c>
      <x:c r="O8" s="88" t="n">
        <x:v>0</x:v>
      </x:c>
      <x:c r="P8" s="88" t="n">
        <x:v>0</x:v>
      </x:c>
      <x:c r="Q8" s="88" t="n">
        <x:v>0</x:v>
      </x:c>
      <x:c r="R8" s="88" t="n">
        <x:v>0</x:v>
      </x:c>
      <x:c r="S8" s="136" t="n">
        <x:f>ROUNDUP(B8*'Выход врагов'!$B$116,0)</x:f>
        <x:v>45</x:v>
      </x:c>
      <x:c r="T8" s="136" t="n">
        <x:f>'Выход врагов'!$B$117</x:f>
        <x:v>30</x:v>
      </x:c>
    </x:row>
    <x:row r="9" ht="30" customHeight="1">
      <x:c r="A9" s="92" t="n">
        <x:v>4</x:v>
      </x:c>
      <x:c r="B9" s="94" t="n">
        <x:f>SUM(E9:R9)</x:f>
        <x:v>60</x:v>
      </x:c>
      <x:c r="C9" s="94" t="n">
        <x:f>SUMPRODUCT(E9:R9,$E$29:$R$29)</x:f>
        <x:v>2750</x:v>
      </x:c>
      <x:c r="D9" s="94" t="n">
        <x:f>SUMPRODUCT(E9:R9,$E$30:$R$30)+'Обзор'!$B$17+A9*'Обзор'!$B$18</x:f>
        <x:v>188</x:v>
      </x:c>
      <x:c r="E9" s="88" t="n">
        <x:v>50</x:v>
      </x:c>
      <x:c r="F9" s="88" t="n">
        <x:v>0</x:v>
      </x:c>
      <x:c r="G9" s="88" t="n">
        <x:v>0</x:v>
      </x:c>
      <x:c r="H9" s="88" t="n">
        <x:v>10</x:v>
      </x:c>
      <x:c r="I9" s="88" t="n">
        <x:v>0</x:v>
      </x:c>
      <x:c r="J9" s="88" t="n">
        <x:v>0</x:v>
      </x:c>
      <x:c r="K9" s="88" t="n">
        <x:v>0</x:v>
      </x:c>
      <x:c r="L9" s="88" t="n">
        <x:v>0</x:v>
      </x:c>
      <x:c r="M9" s="88" t="n">
        <x:v>0</x:v>
      </x:c>
      <x:c r="N9" s="88" t="n">
        <x:v>0</x:v>
      </x:c>
      <x:c r="O9" s="88" t="n">
        <x:v>0</x:v>
      </x:c>
      <x:c r="P9" s="88" t="n">
        <x:v>0</x:v>
      </x:c>
      <x:c r="Q9" s="88" t="n">
        <x:v>0</x:v>
      </x:c>
      <x:c r="R9" s="88" t="n">
        <x:v>0</x:v>
      </x:c>
      <x:c r="S9" s="136" t="n">
        <x:f>ROUNDUP(B9*'Выход врагов'!$B$116,0)</x:f>
        <x:v>36</x:v>
      </x:c>
      <x:c r="T9" s="136" t="n">
        <x:f>'Выход врагов'!$B$117</x:f>
        <x:v>30</x:v>
      </x:c>
    </x:row>
    <x:row r="10" ht="30" customHeight="1">
      <x:c r="A10" s="91" t="n">
        <x:v>5</x:v>
      </x:c>
      <x:c r="B10" s="94" t="n">
        <x:f>SUM(E10:R10)</x:f>
        <x:v>70</x:v>
      </x:c>
      <x:c r="C10" s="94" t="n">
        <x:f>SUMPRODUCT(E10:R10,$E$29:$R$29)</x:f>
        <x:v>2450</x:v>
      </x:c>
      <x:c r="D10" s="94" t="n">
        <x:f>SUMPRODUCT(E10:R10,$E$30:$R$30)+'Обзор'!$B$17+A10*'Обзор'!$B$18</x:f>
        <x:v>212</x:v>
      </x:c>
      <x:c r="E10" s="88" t="n">
        <x:v>50</x:v>
      </x:c>
      <x:c r="F10" s="88" t="n">
        <x:v>5</x:v>
      </x:c>
      <x:c r="G10" s="88" t="n">
        <x:v>10</x:v>
      </x:c>
      <x:c r="H10" s="88" t="n">
        <x:v>5</x:v>
      </x:c>
      <x:c r="I10" s="88" t="n">
        <x:v>0</x:v>
      </x:c>
      <x:c r="J10" s="88" t="n">
        <x:v>0</x:v>
      </x:c>
      <x:c r="K10" s="88" t="n">
        <x:v>0</x:v>
      </x:c>
      <x:c r="L10" s="88" t="n">
        <x:v>0</x:v>
      </x:c>
      <x:c r="M10" s="88" t="n">
        <x:v>0</x:v>
      </x:c>
      <x:c r="N10" s="88" t="n">
        <x:v>0</x:v>
      </x:c>
      <x:c r="O10" s="88" t="n">
        <x:v>0</x:v>
      </x:c>
      <x:c r="P10" s="88" t="n">
        <x:v>0</x:v>
      </x:c>
      <x:c r="Q10" s="88" t="n">
        <x:v>0</x:v>
      </x:c>
      <x:c r="R10" s="88" t="n">
        <x:v>0</x:v>
      </x:c>
      <x:c r="S10" s="136" t="n">
        <x:f>ROUNDUP(B10*'Выход врагов'!$B$116,0)</x:f>
        <x:v>42</x:v>
      </x:c>
      <x:c r="T10" s="136" t="n">
        <x:f>'Выход врагов'!$B$117</x:f>
        <x:v>30</x:v>
      </x:c>
    </x:row>
    <x:row r="11" ht="30" customHeight="1">
      <x:c r="A11" s="92" t="n">
        <x:v>6</x:v>
      </x:c>
      <x:c r="B11" s="94" t="n">
        <x:f>SUM(E11:R11)</x:f>
        <x:v>125</x:v>
      </x:c>
      <x:c r="C11" s="94" t="n">
        <x:f>SUMPRODUCT(E11:R11,$E$29:$R$29)</x:f>
        <x:v>6875</x:v>
      </x:c>
      <x:c r="D11" s="94" t="n">
        <x:f>SUMPRODUCT(E11:R11,$E$30:$R$30)+'Обзор'!$B$17+A11*'Обзор'!$B$18</x:f>
        <x:v>346</x:v>
      </x:c>
      <x:c r="E11" s="88" t="n">
        <x:v>75</x:v>
      </x:c>
      <x:c r="F11" s="88" t="n">
        <x:v>0</x:v>
      </x:c>
      <x:c r="G11" s="88" t="n">
        <x:v>0</x:v>
      </x:c>
      <x:c r="H11" s="88" t="n">
        <x:v>0</x:v>
      </x:c>
      <x:c r="I11" s="88" t="n">
        <x:v>50</x:v>
      </x:c>
      <x:c r="J11" s="88" t="n">
        <x:v>0</x:v>
      </x:c>
      <x:c r="K11" s="88" t="n">
        <x:v>0</x:v>
      </x:c>
      <x:c r="L11" s="88" t="n">
        <x:v>0</x:v>
      </x:c>
      <x:c r="M11" s="88" t="n">
        <x:v>0</x:v>
      </x:c>
      <x:c r="N11" s="88" t="n">
        <x:v>0</x:v>
      </x:c>
      <x:c r="O11" s="88" t="n">
        <x:v>0</x:v>
      </x:c>
      <x:c r="P11" s="88" t="n">
        <x:v>0</x:v>
      </x:c>
      <x:c r="Q11" s="88" t="n">
        <x:v>0</x:v>
      </x:c>
      <x:c r="R11" s="88" t="n">
        <x:v>0</x:v>
      </x:c>
      <x:c r="S11" s="136" t="n">
        <x:f>ROUNDUP(B11*'Выход врагов'!$B$116,0)</x:f>
        <x:v>75</x:v>
      </x:c>
      <x:c r="T11" s="136" t="n">
        <x:f>'Выход врагов'!$B$117</x:f>
        <x:v>30</x:v>
      </x:c>
    </x:row>
    <x:row r="12" ht="30" customHeight="1">
      <x:c r="A12" s="91" t="n">
        <x:v>7</x:v>
      </x:c>
      <x:c r="B12" s="94" t="n">
        <x:f>SUM(E12:R12)</x:f>
        <x:v>100</x:v>
      </x:c>
      <x:c r="C12" s="94" t="n">
        <x:f>SUMPRODUCT(E12:R12,$E$29:$R$29)</x:f>
        <x:v>4375</x:v>
      </x:c>
      <x:c r="D12" s="94" t="n">
        <x:f>SUMPRODUCT(E12:R12,$E$30:$R$30)+'Обзор'!$B$17+A12*'Обзор'!$B$18</x:f>
        <x:v>275</x:v>
      </x:c>
      <x:c r="E12" s="88" t="n">
        <x:v>75</x:v>
      </x:c>
      <x:c r="F12" s="88" t="n">
        <x:v>0</x:v>
      </x:c>
      <x:c r="G12" s="88" t="n">
        <x:v>0</x:v>
      </x:c>
      <x:c r="H12" s="88" t="n">
        <x:v>0</x:v>
      </x:c>
      <x:c r="I12" s="88" t="n">
        <x:v>0</x:v>
      </x:c>
      <x:c r="J12" s="88" t="n">
        <x:v>25</x:v>
      </x:c>
      <x:c r="K12" s="88" t="n">
        <x:v>0</x:v>
      </x:c>
      <x:c r="L12" s="88" t="n">
        <x:v>0</x:v>
      </x:c>
      <x:c r="M12" s="88" t="n">
        <x:v>0</x:v>
      </x:c>
      <x:c r="N12" s="88" t="n">
        <x:v>0</x:v>
      </x:c>
      <x:c r="O12" s="88" t="n">
        <x:v>0</x:v>
      </x:c>
      <x:c r="P12" s="88" t="n">
        <x:v>0</x:v>
      </x:c>
      <x:c r="Q12" s="88" t="n">
        <x:v>0</x:v>
      </x:c>
      <x:c r="R12" s="88" t="n">
        <x:v>0</x:v>
      </x:c>
      <x:c r="S12" s="136" t="n">
        <x:f>ROUNDUP(B12*'Выход врагов'!$B$116,0)</x:f>
        <x:v>60</x:v>
      </x:c>
      <x:c r="T12" s="136" t="n">
        <x:f>'Выход врагов'!$B$117</x:f>
        <x:v>30</x:v>
      </x:c>
    </x:row>
    <x:row r="13" ht="30" customHeight="1">
      <x:c r="A13" s="92" t="n">
        <x:v>8</x:v>
      </x:c>
      <x:c r="B13" s="94" t="n">
        <x:f>SUM(E13:R13)</x:f>
        <x:v>100</x:v>
      </x:c>
      <x:c r="C13" s="94" t="n">
        <x:f>SUMPRODUCT(E13:R13,$E$29:$R$29)</x:f>
        <x:v>3750</x:v>
      </x:c>
      <x:c r="D13" s="94" t="n">
        <x:f>SUMPRODUCT(E13:R13,$E$30:$R$30)+'Обзор'!$B$17+A13*'Обзор'!$B$18</x:f>
        <x:v>279</x:v>
      </x:c>
      <x:c r="E13" s="88" t="n">
        <x:v>75</x:v>
      </x:c>
      <x:c r="F13" s="88" t="n">
        <x:v>0</x:v>
      </x:c>
      <x:c r="G13" s="88" t="n">
        <x:v>0</x:v>
      </x:c>
      <x:c r="H13" s="88" t="n">
        <x:v>0</x:v>
      </x:c>
      <x:c r="I13" s="88" t="n">
        <x:v>0</x:v>
      </x:c>
      <x:c r="J13" s="88" t="n">
        <x:v>0</x:v>
      </x:c>
      <x:c r="K13" s="88" t="n">
        <x:v>0</x:v>
      </x:c>
      <x:c r="L13" s="88" t="n">
        <x:v>25</x:v>
      </x:c>
      <x:c r="M13" s="88" t="n">
        <x:v>0</x:v>
      </x:c>
      <x:c r="N13" s="88" t="n">
        <x:v>0</x:v>
      </x:c>
      <x:c r="O13" s="88" t="n">
        <x:v>0</x:v>
      </x:c>
      <x:c r="P13" s="88" t="n">
        <x:v>0</x:v>
      </x:c>
      <x:c r="Q13" s="88" t="n">
        <x:v>0</x:v>
      </x:c>
      <x:c r="R13" s="88" t="n">
        <x:v>0</x:v>
      </x:c>
      <x:c r="S13" s="136" t="n">
        <x:f>ROUNDUP(B13*'Выход врагов'!$B$116,0)</x:f>
        <x:v>60</x:v>
      </x:c>
      <x:c r="T13" s="136" t="n">
        <x:f>'Выход врагов'!$B$117</x:f>
        <x:v>30</x:v>
      </x:c>
    </x:row>
    <x:row r="14" ht="30" customHeight="1">
      <x:c r="A14" s="91" t="n">
        <x:v>9</x:v>
      </x:c>
      <x:c r="B14" s="94" t="n">
        <x:f>SUM(E14:R14)</x:f>
        <x:v>90</x:v>
      </x:c>
      <x:c r="C14" s="94" t="n">
        <x:f>SUMPRODUCT(E14:R14,$E$29:$R$29)</x:f>
        <x:v>6375</x:v>
      </x:c>
      <x:c r="D14" s="94" t="n">
        <x:f>SUMPRODUCT(E14:R14,$E$30:$R$30)+'Обзор'!$B$17+A14*'Обзор'!$B$18</x:f>
        <x:v>298</x:v>
      </x:c>
      <x:c r="E14" s="88" t="n">
        <x:v>75</x:v>
      </x:c>
      <x:c r="F14" s="88" t="n">
        <x:v>0</x:v>
      </x:c>
      <x:c r="G14" s="88" t="n">
        <x:v>0</x:v>
      </x:c>
      <x:c r="H14" s="88" t="n">
        <x:v>0</x:v>
      </x:c>
      <x:c r="I14" s="88" t="n">
        <x:v>0</x:v>
      </x:c>
      <x:c r="J14" s="88" t="n">
        <x:v>0</x:v>
      </x:c>
      <x:c r="K14" s="88" t="n">
        <x:v>0</x:v>
      </x:c>
      <x:c r="L14" s="88" t="n">
        <x:v>0</x:v>
      </x:c>
      <x:c r="M14" s="88" t="n">
        <x:v>15</x:v>
      </x:c>
      <x:c r="N14" s="88" t="n">
        <x:v>0</x:v>
      </x:c>
      <x:c r="O14" s="88" t="n">
        <x:v>0</x:v>
      </x:c>
      <x:c r="P14" s="88" t="n">
        <x:v>0</x:v>
      </x:c>
      <x:c r="Q14" s="88" t="n">
        <x:v>0</x:v>
      </x:c>
      <x:c r="R14" s="88" t="n">
        <x:v>0</x:v>
      </x:c>
      <x:c r="S14" s="136" t="n">
        <x:f>ROUNDUP(B14*'Выход врагов'!$B$116,0)</x:f>
        <x:v>54</x:v>
      </x:c>
      <x:c r="T14" s="136" t="n">
        <x:f>'Выход врагов'!$B$117</x:f>
        <x:v>30</x:v>
      </x:c>
    </x:row>
    <x:row r="15" ht="30" customHeight="1">
      <x:c r="A15" s="92" t="n">
        <x:v>10</x:v>
      </x:c>
      <x:c r="B15" s="94" t="n">
        <x:f>SUM(E15:R15)</x:f>
        <x:v>200</x:v>
      </x:c>
      <x:c r="C15" s="94" t="n">
        <x:f>SUMPRODUCT(E15:R15,$E$29:$R$29)</x:f>
        <x:v>16000</x:v>
      </x:c>
      <x:c r="D15" s="94" t="n">
        <x:f>SUMPRODUCT(E15:R15,$E$30:$R$30)+'Обзор'!$B$17+A15*'Обзор'!$B$18</x:f>
        <x:v>622</x:v>
      </x:c>
      <x:c r="E15" s="88" t="n">
        <x:v>100</x:v>
      </x:c>
      <x:c r="F15" s="88" t="n">
        <x:v>0</x:v>
      </x:c>
      <x:c r="G15" s="88" t="n">
        <x:v>0</x:v>
      </x:c>
      <x:c r="H15" s="88" t="n">
        <x:v>0</x:v>
      </x:c>
      <x:c r="I15" s="88" t="n">
        <x:v>50</x:v>
      </x:c>
      <x:c r="J15" s="88" t="n">
        <x:v>10</x:v>
      </x:c>
      <x:c r="K15" s="88" t="n">
        <x:v>0</x:v>
      </x:c>
      <x:c r="L15" s="88" t="n">
        <x:v>20</x:v>
      </x:c>
      <x:c r="M15" s="88" t="n">
        <x:v>20</x:v>
      </x:c>
      <x:c r="N15" s="88" t="n">
        <x:v>0</x:v>
      </x:c>
      <x:c r="O15" s="88" t="n">
        <x:v>0</x:v>
      </x:c>
      <x:c r="P15" s="88" t="n">
        <x:v>0</x:v>
      </x:c>
      <x:c r="Q15" s="88" t="n">
        <x:v>0</x:v>
      </x:c>
      <x:c r="R15" s="88" t="n">
        <x:v>0</x:v>
      </x:c>
      <x:c r="S15" s="136" t="n">
        <x:f>ROUNDUP(B15*'Выход врагов'!$B$116,0)</x:f>
        <x:v>120</x:v>
      </x:c>
      <x:c r="T15" s="136" t="n">
        <x:f>'Выход врагов'!$B$117</x:f>
        <x:v>30</x:v>
      </x:c>
    </x:row>
    <x:row r="16" ht="30" customHeight="1">
      <x:c r="A16" s="91" t="n">
        <x:v>11</x:v>
      </x:c>
      <x:c r="B16" s="94" t="n">
        <x:f>SUM(E16:R16)</x:f>
        <x:v>125</x:v>
      </x:c>
      <x:c r="C16" s="94" t="n">
        <x:f>SUMPRODUCT(E16:R16,$E$29:$R$29)</x:f>
        <x:v>3500</x:v>
      </x:c>
      <x:c r="D16" s="94" t="n">
        <x:f>SUMPRODUCT(E16:R16,$E$30:$R$30)+'Обзор'!$B$17+A16*'Обзор'!$B$18</x:f>
        <x:v>341</x:v>
      </x:c>
      <x:c r="E16" s="88" t="n">
        <x:v>100</x:v>
      </x:c>
      <x:c r="F16" s="88" t="n">
        <x:v>0</x:v>
      </x:c>
      <x:c r="G16" s="88" t="n">
        <x:v>0</x:v>
      </x:c>
      <x:c r="H16" s="88" t="n">
        <x:v>0</x:v>
      </x:c>
      <x:c r="I16" s="88" t="n">
        <x:v>0</x:v>
      </x:c>
      <x:c r="J16" s="88" t="n">
        <x:v>0</x:v>
      </x:c>
      <x:c r="K16" s="88" t="n">
        <x:v>0</x:v>
      </x:c>
      <x:c r="L16" s="88" t="n">
        <x:v>0</x:v>
      </x:c>
      <x:c r="M16" s="88" t="n">
        <x:v>0</x:v>
      </x:c>
      <x:c r="N16" s="88" t="n">
        <x:v>25</x:v>
      </x:c>
      <x:c r="O16" s="88" t="n">
        <x:v>0</x:v>
      </x:c>
      <x:c r="P16" s="88" t="n">
        <x:v>0</x:v>
      </x:c>
      <x:c r="Q16" s="88" t="n">
        <x:v>0</x:v>
      </x:c>
      <x:c r="R16" s="88" t="n">
        <x:v>0</x:v>
      </x:c>
      <x:c r="S16" s="136" t="n">
        <x:f>ROUNDUP(B16*'Выход врагов'!$B$116,0)</x:f>
        <x:v>75</x:v>
      </x:c>
      <x:c r="T16" s="136" t="n">
        <x:f>'Выход врагов'!$B$117</x:f>
        <x:v>30</x:v>
      </x:c>
    </x:row>
    <x:row r="17" ht="30" customHeight="1">
      <x:c r="A17" s="92" t="n">
        <x:v>12</x:v>
      </x:c>
      <x:c r="B17" s="94" t="n">
        <x:f>SUM(E17:R17)</x:f>
        <x:v>130</x:v>
      </x:c>
      <x:c r="C17" s="94" t="n">
        <x:f>SUMPRODUCT(E17:R17,$E$29:$R$29)</x:f>
        <x:v>3950</x:v>
      </x:c>
      <x:c r="D17" s="94" t="n">
        <x:f>SUMPRODUCT(E17:R17,$E$30:$R$30)+'Обзор'!$B$17+A17*'Обзор'!$B$18</x:f>
        <x:v>360</x:v>
      </x:c>
      <x:c r="E17" s="88" t="n">
        <x:v>100</x:v>
      </x:c>
      <x:c r="F17" s="88" t="n">
        <x:v>0</x:v>
      </x:c>
      <x:c r="G17" s="88" t="n">
        <x:v>0</x:v>
      </x:c>
      <x:c r="H17" s="88" t="n">
        <x:v>0</x:v>
      </x:c>
      <x:c r="I17" s="88" t="n">
        <x:v>0</x:v>
      </x:c>
      <x:c r="J17" s="88" t="n">
        <x:v>0</x:v>
      </x:c>
      <x:c r="K17" s="88" t="n">
        <x:v>0</x:v>
      </x:c>
      <x:c r="L17" s="88" t="n">
        <x:v>10</x:v>
      </x:c>
      <x:c r="M17" s="88" t="n">
        <x:v>0</x:v>
      </x:c>
      <x:c r="N17" s="88" t="n">
        <x:v>0</x:v>
      </x:c>
      <x:c r="O17" s="88" t="n">
        <x:v>20</x:v>
      </x:c>
      <x:c r="P17" s="88" t="n">
        <x:v>0</x:v>
      </x:c>
      <x:c r="Q17" s="88" t="n">
        <x:v>0</x:v>
      </x:c>
      <x:c r="R17" s="88" t="n">
        <x:v>0</x:v>
      </x:c>
      <x:c r="S17" s="136" t="n">
        <x:f>ROUNDUP(B17*'Выход врагов'!$B$116,0)</x:f>
        <x:v>78</x:v>
      </x:c>
      <x:c r="T17" s="136" t="n">
        <x:f>'Выход врагов'!$B$117</x:f>
        <x:v>30</x:v>
      </x:c>
    </x:row>
    <x:row r="18" ht="30" customHeight="1">
      <x:c r="A18" s="91" t="n">
        <x:v>13</x:v>
      </x:c>
      <x:c r="B18" s="94" t="n">
        <x:f>SUM(E18:R18)</x:f>
        <x:v>150</x:v>
      </x:c>
      <x:c r="C18" s="94" t="n">
        <x:f>SUMPRODUCT(E18:R18,$E$29:$R$29)</x:f>
        <x:v>8250</x:v>
      </x:c>
      <x:c r="D18" s="94" t="n">
        <x:f>SUMPRODUCT(E18:R18,$E$30:$R$30)+'Обзор'!$B$17+A18*'Обзор'!$B$18</x:f>
        <x:v>439</x:v>
      </x:c>
      <x:c r="E18" s="88" t="n">
        <x:v>100</x:v>
      </x:c>
      <x:c r="F18" s="88" t="n">
        <x:v>0</x:v>
      </x:c>
      <x:c r="G18" s="88" t="n">
        <x:v>0</x:v>
      </x:c>
      <x:c r="H18" s="88" t="n">
        <x:v>0</x:v>
      </x:c>
      <x:c r="I18" s="88" t="n">
        <x:v>25</x:v>
      </x:c>
      <x:c r="J18" s="88" t="n">
        <x:v>10</x:v>
      </x:c>
      <x:c r="K18" s="88" t="n">
        <x:v>0</x:v>
      </x:c>
      <x:c r="L18" s="88" t="n">
        <x:v>10</x:v>
      </x:c>
      <x:c r="M18" s="88" t="n">
        <x:v>5</x:v>
      </x:c>
      <x:c r="N18" s="88" t="n">
        <x:v>0</x:v>
      </x:c>
      <x:c r="O18" s="88" t="n">
        <x:v>0</x:v>
      </x:c>
      <x:c r="P18" s="88" t="n">
        <x:v>0</x:v>
      </x:c>
      <x:c r="Q18" s="88" t="n">
        <x:v>0</x:v>
      </x:c>
      <x:c r="R18" s="88" t="n">
        <x:v>0</x:v>
      </x:c>
      <x:c r="S18" s="136" t="n">
        <x:f>ROUNDUP(B18*'Выход врагов'!$B$116,0)</x:f>
        <x:v>90</x:v>
      </x:c>
      <x:c r="T18" s="136" t="n">
        <x:f>'Выход врагов'!$B$117</x:f>
        <x:v>30</x:v>
      </x:c>
    </x:row>
    <x:row r="19" ht="30" customHeight="1">
      <x:c r="A19" s="92" t="n">
        <x:v>14</x:v>
      </x:c>
      <x:c r="B19" s="94" t="n">
        <x:f>SUM(E19:R19)</x:f>
        <x:v>172</x:v>
      </x:c>
      <x:c r="C19" s="94" t="n">
        <x:f>SUMPRODUCT(E19:R19,$E$29:$R$29)</x:f>
        <x:v>10725</x:v>
      </x:c>
      <x:c r="D19" s="94" t="n">
        <x:f>SUMPRODUCT(E19:R19,$E$30:$R$30)+'Обзор'!$B$17+A19*'Обзор'!$B$18</x:f>
        <x:v>515</x:v>
      </x:c>
      <x:c r="E19" s="88" t="n">
        <x:v>100</x:v>
      </x:c>
      <x:c r="F19" s="88" t="n">
        <x:v>0</x:v>
      </x:c>
      <x:c r="G19" s="88" t="n">
        <x:v>0</x:v>
      </x:c>
      <x:c r="H19" s="88" t="n">
        <x:v>0</x:v>
      </x:c>
      <x:c r="I19" s="88" t="n">
        <x:v>30</x:v>
      </x:c>
      <x:c r="J19" s="88" t="n">
        <x:v>20</x:v>
      </x:c>
      <x:c r="K19" s="88" t="n">
        <x:v>0</x:v>
      </x:c>
      <x:c r="L19" s="88" t="n">
        <x:v>15</x:v>
      </x:c>
      <x:c r="M19" s="88" t="n">
        <x:v>7</x:v>
      </x:c>
      <x:c r="N19" s="88" t="n">
        <x:v>0</x:v>
      </x:c>
      <x:c r="O19" s="88" t="n">
        <x:v>0</x:v>
      </x:c>
      <x:c r="P19" s="88" t="n">
        <x:v>0</x:v>
      </x:c>
      <x:c r="Q19" s="88" t="n">
        <x:v>0</x:v>
      </x:c>
      <x:c r="R19" s="88" t="n">
        <x:v>0</x:v>
      </x:c>
      <x:c r="S19" s="136" t="n">
        <x:f>ROUNDUP(B19*'Выход врагов'!$B$116,0)</x:f>
        <x:v>104</x:v>
      </x:c>
      <x:c r="T19" s="136" t="n">
        <x:f>'Выход врагов'!$B$117</x:f>
        <x:v>30</x:v>
      </x:c>
    </x:row>
    <x:row r="20" ht="30" customHeight="1">
      <x:c r="A20" s="91" t="n">
        <x:v>15</x:v>
      </x:c>
      <x:c r="B20" s="94" t="n">
        <x:f>SUM(E20:R20)</x:f>
        <x:v>375</x:v>
      </x:c>
      <x:c r="C20" s="94" t="n">
        <x:f>SUMPRODUCT(E20:R20,$E$29:$R$29)</x:f>
        <x:v>16800</x:v>
      </x:c>
      <x:c r="D20" s="94" t="n">
        <x:f>SUMPRODUCT(E20:R20,$E$30:$R$30)+'Обзор'!$B$17+A20*'Обзор'!$B$18</x:f>
        <x:v>1117</x:v>
      </x:c>
      <x:c r="E20" s="88" t="n">
        <x:v>150</x:v>
      </x:c>
      <x:c r="F20" s="88" t="n">
        <x:v>0</x:v>
      </x:c>
      <x:c r="G20" s="88" t="n">
        <x:v>0</x:v>
      </x:c>
      <x:c r="H20" s="88" t="n">
        <x:v>0</x:v>
      </x:c>
      <x:c r="I20" s="88" t="n">
        <x:v>0</x:v>
      </x:c>
      <x:c r="J20" s="88" t="n">
        <x:v>0</x:v>
      </x:c>
      <x:c r="K20" s="88" t="n">
        <x:v>0</x:v>
      </x:c>
      <x:c r="L20" s="88" t="n">
        <x:v>0</x:v>
      </x:c>
      <x:c r="M20" s="88" t="n">
        <x:v>20</x:v>
      </x:c>
      <x:c r="N20" s="88" t="n">
        <x:v>25</x:v>
      </x:c>
      <x:c r="O20" s="88" t="n">
        <x:v>30</x:v>
      </x:c>
      <x:c r="P20" s="88" t="n">
        <x:v>100</x:v>
      </x:c>
      <x:c r="Q20" s="88" t="n">
        <x:v>50</x:v>
      </x:c>
      <x:c r="R20" s="88" t="n">
        <x:v>0</x:v>
      </x:c>
      <x:c r="S20" s="136" t="n">
        <x:f>ROUNDUP(B20*'Выход врагов'!$B$116,0)</x:f>
        <x:v>225</x:v>
      </x:c>
      <x:c r="T20" s="136" t="n">
        <x:f>'Выход врагов'!$B$117</x:f>
        <x:v>30</x:v>
      </x:c>
    </x:row>
    <x:row r="21" ht="30" customHeight="1">
      <x:c r="A21" s="92" t="n">
        <x:v>16</x:v>
      </x:c>
      <x:c r="B21" s="94" t="n">
        <x:f>SUM(E21:R21)</x:f>
        <x:v>250</x:v>
      </x:c>
      <x:c r="C21" s="94" t="n">
        <x:f>SUMPRODUCT(E21:R21,$E$29:$R$29)</x:f>
        <x:v>8250</x:v>
      </x:c>
      <x:c r="D21" s="94" t="n">
        <x:f>SUMPRODUCT(E21:R21,$E$30:$R$30)+'Обзор'!$B$17+A21*'Обзор'!$B$18</x:f>
        <x:v>716</x:v>
      </x:c>
      <x:c r="E21" s="88" t="n">
        <x:v>140</x:v>
      </x:c>
      <x:c r="F21" s="88" t="n">
        <x:v>30</x:v>
      </x:c>
      <x:c r="G21" s="88" t="n">
        <x:v>15</x:v>
      </x:c>
      <x:c r="H21" s="88" t="n">
        <x:v>10</x:v>
      </x:c>
      <x:c r="I21" s="88" t="n">
        <x:v>0</x:v>
      </x:c>
      <x:c r="J21" s="88" t="n">
        <x:v>0</x:v>
      </x:c>
      <x:c r="K21" s="88" t="n">
        <x:v>30</x:v>
      </x:c>
      <x:c r="L21" s="88" t="n">
        <x:v>0</x:v>
      </x:c>
      <x:c r="M21" s="88" t="n">
        <x:v>0</x:v>
      </x:c>
      <x:c r="N21" s="88" t="n">
        <x:v>25</x:v>
      </x:c>
      <x:c r="O21" s="88" t="n">
        <x:v>0</x:v>
      </x:c>
      <x:c r="P21" s="88" t="n">
        <x:v>0</x:v>
      </x:c>
      <x:c r="Q21" s="88" t="n">
        <x:v>0</x:v>
      </x:c>
      <x:c r="R21" s="88" t="n">
        <x:v>0</x:v>
      </x:c>
      <x:c r="S21" s="136" t="n">
        <x:f>ROUNDUP(B21*'Выход врагов'!$B$116,0)</x:f>
        <x:v>150</x:v>
      </x:c>
      <x:c r="T21" s="136" t="n">
        <x:f>'Выход врагов'!$B$117</x:f>
        <x:v>30</x:v>
      </x:c>
    </x:row>
    <x:row r="22" ht="30" customHeight="1">
      <x:c r="A22" s="91" t="n">
        <x:v>17</x:v>
      </x:c>
      <x:c r="B22" s="94" t="n">
        <x:f>SUM(E22:R22)</x:f>
        <x:v>325</x:v>
      </x:c>
      <x:c r="C22" s="94" t="n">
        <x:f>SUMPRODUCT(E22:R22,$E$29:$R$29)</x:f>
        <x:v>16900</x:v>
      </x:c>
      <x:c r="D22" s="94" t="n">
        <x:f>SUMPRODUCT(E22:R22,$E$30:$R$30)+'Обзор'!$B$17+A22*'Обзор'!$B$18</x:f>
        <x:v>960</x:v>
      </x:c>
      <x:c r="E22" s="88" t="n">
        <x:v>150</x:v>
      </x:c>
      <x:c r="F22" s="88" t="n">
        <x:v>0</x:v>
      </x:c>
      <x:c r="G22" s="88" t="n">
        <x:v>0</x:v>
      </x:c>
      <x:c r="H22" s="88" t="n">
        <x:v>0</x:v>
      </x:c>
      <x:c r="I22" s="88" t="n">
        <x:v>0</x:v>
      </x:c>
      <x:c r="J22" s="88" t="n">
        <x:v>30</x:v>
      </x:c>
      <x:c r="K22" s="88" t="n">
        <x:v>0</x:v>
      </x:c>
      <x:c r="L22" s="88" t="n">
        <x:v>30</x:v>
      </x:c>
      <x:c r="M22" s="88" t="n">
        <x:v>15</x:v>
      </x:c>
      <x:c r="N22" s="88" t="n">
        <x:v>0</x:v>
      </x:c>
      <x:c r="O22" s="88" t="n">
        <x:v>20</x:v>
      </x:c>
      <x:c r="P22" s="88" t="n">
        <x:v>50</x:v>
      </x:c>
      <x:c r="Q22" s="88" t="n">
        <x:v>30</x:v>
      </x:c>
      <x:c r="R22" s="88" t="n">
        <x:v>0</x:v>
      </x:c>
      <x:c r="S22" s="136" t="n">
        <x:f>ROUNDUP(B22*'Выход врагов'!$B$116,0)</x:f>
        <x:v>195</x:v>
      </x:c>
      <x:c r="T22" s="136" t="n">
        <x:f>'Выход врагов'!$B$117</x:f>
        <x:v>30</x:v>
      </x:c>
    </x:row>
    <x:row r="23" ht="30" customHeight="1">
      <x:c r="A23" s="92" t="n">
        <x:v>18</x:v>
      </x:c>
      <x:c r="B23" s="94" t="n">
        <x:f>SUM(E23:R23)</x:f>
        <x:v>365</x:v>
      </x:c>
      <x:c r="C23" s="94" t="n">
        <x:f>SUMPRODUCT(E23:R23,$E$29:$R$29)</x:f>
        <x:v>12050</x:v>
      </x:c>
      <x:c r="D23" s="94" t="n">
        <x:f>SUMPRODUCT(E23:R23,$E$30:$R$30)+'Обзор'!$B$17+A23*'Обзор'!$B$18</x:f>
        <x:v>1059</x:v>
      </x:c>
      <x:c r="E23" s="88" t="n">
        <x:v>150</x:v>
      </x:c>
      <x:c r="F23" s="88" t="n">
        <x:v>40</x:v>
      </x:c>
      <x:c r="G23" s="88" t="n">
        <x:v>20</x:v>
      </x:c>
      <x:c r="H23" s="88" t="n">
        <x:v>10</x:v>
      </x:c>
      <x:c r="I23" s="88" t="n">
        <x:v>0</x:v>
      </x:c>
      <x:c r="J23" s="88" t="n">
        <x:v>0</x:v>
      </x:c>
      <x:c r="K23" s="88" t="n">
        <x:v>30</x:v>
      </x:c>
      <x:c r="L23" s="88" t="n">
        <x:v>0</x:v>
      </x:c>
      <x:c r="M23" s="88" t="n">
        <x:v>0</x:v>
      </x:c>
      <x:c r="N23" s="88" t="n">
        <x:v>40</x:v>
      </x:c>
      <x:c r="O23" s="88" t="n">
        <x:v>0</x:v>
      </x:c>
      <x:c r="P23" s="88" t="n">
        <x:v>50</x:v>
      </x:c>
      <x:c r="Q23" s="88" t="n">
        <x:v>25</x:v>
      </x:c>
      <x:c r="R23" s="88" t="n">
        <x:v>0</x:v>
      </x:c>
      <x:c r="S23" s="136" t="n">
        <x:f>ROUNDUP(B23*'Выход врагов'!$B$116,0)</x:f>
        <x:v>219</x:v>
      </x:c>
      <x:c r="T23" s="136" t="n">
        <x:f>'Выход врагов'!$B$117</x:f>
        <x:v>30</x:v>
      </x:c>
    </x:row>
    <x:row r="24" ht="30" customHeight="1">
      <x:c r="A24" s="91" t="n">
        <x:v>19</x:v>
      </x:c>
      <x:c r="B24" s="94" t="n">
        <x:f>SUM(E24:R24)</x:f>
        <x:v>465</x:v>
      </x:c>
      <x:c r="C24" s="94" t="n">
        <x:f>SUMPRODUCT(E24:R24,$E$29:$R$29)</x:f>
        <x:v>23425</x:v>
      </x:c>
      <x:c r="D24" s="94" t="n">
        <x:f>SUMPRODUCT(E24:R24,$E$30:$R$30)+'Обзор'!$B$17+A24*'Обзор'!$B$18</x:f>
        <x:v>1398</x:v>
      </x:c>
      <x:c r="E24" s="88" t="n">
        <x:v>160</x:v>
      </x:c>
      <x:c r="F24" s="88" t="n">
        <x:v>30</x:v>
      </x:c>
      <x:c r="G24" s="88" t="n">
        <x:v>15</x:v>
      </x:c>
      <x:c r="H24" s="88" t="n">
        <x:v>10</x:v>
      </x:c>
      <x:c r="I24" s="88" t="n">
        <x:v>30</x:v>
      </x:c>
      <x:c r="J24" s="88" t="n">
        <x:v>20</x:v>
      </x:c>
      <x:c r="K24" s="88" t="n">
        <x:v>15</x:v>
      </x:c>
      <x:c r="L24" s="88" t="n">
        <x:v>20</x:v>
      </x:c>
      <x:c r="M24" s="88" t="n">
        <x:v>15</x:v>
      </x:c>
      <x:c r="N24" s="88" t="n">
        <x:v>25</x:v>
      </x:c>
      <x:c r="O24" s="88" t="n">
        <x:v>15</x:v>
      </x:c>
      <x:c r="P24" s="88" t="n">
        <x:v>80</x:v>
      </x:c>
      <x:c r="Q24" s="88" t="n">
        <x:v>30</x:v>
      </x:c>
      <x:c r="R24" s="88" t="n">
        <x:v>0</x:v>
      </x:c>
      <x:c r="S24" s="136" t="n">
        <x:f>ROUNDUP(B24*'Выход врагов'!$B$116,0)</x:f>
        <x:v>279</x:v>
      </x:c>
      <x:c r="T24" s="136" t="n">
        <x:f>'Выход врагов'!$B$117</x:f>
        <x:v>30</x:v>
      </x:c>
    </x:row>
    <x:row r="25" ht="30" customHeight="1">
      <x:c r="A25" s="92" t="n">
        <x:v>20</x:v>
      </x:c>
      <x:c r="B25" s="94" t="n">
        <x:f>SUM(E25:R25)</x:f>
        <x:v>1</x:v>
      </x:c>
      <x:c r="C25" s="94" t="n">
        <x:f>SUMPRODUCT(E25:R25,$E$29:$R$29)</x:f>
        <x:v>10000</x:v>
      </x:c>
      <x:c r="D25" s="94" t="n">
        <x:f>SUMPRODUCT(E25:R25,$E$30:$R$30)+'Обзор'!$B$17+A25*'Обзор'!$B$18</x:f>
        <x:v>128</x:v>
      </x:c>
      <x:c r="E25" s="88" t="n">
        <x:v>0</x:v>
      </x:c>
      <x:c r="F25" s="88" t="n">
        <x:v>0</x:v>
      </x:c>
      <x:c r="G25" s="88" t="n">
        <x:v>0</x:v>
      </x:c>
      <x:c r="H25" s="88" t="n">
        <x:v>0</x:v>
      </x:c>
      <x:c r="I25" s="88" t="n">
        <x:v>0</x:v>
      </x:c>
      <x:c r="J25" s="88" t="n">
        <x:v>0</x:v>
      </x:c>
      <x:c r="K25" s="88" t="n">
        <x:v>0</x:v>
      </x:c>
      <x:c r="L25" s="88" t="n">
        <x:v>0</x:v>
      </x:c>
      <x:c r="M25" s="88" t="n">
        <x:v>0</x:v>
      </x:c>
      <x:c r="N25" s="88" t="n">
        <x:v>0</x:v>
      </x:c>
      <x:c r="O25" s="88" t="n">
        <x:v>0</x:v>
      </x:c>
      <x:c r="P25" s="88" t="n">
        <x:v>0</x:v>
      </x:c>
      <x:c r="Q25" s="88" t="n">
        <x:v>0</x:v>
      </x:c>
      <x:c r="R25" s="88" t="n">
        <x:v>1</x:v>
      </x:c>
      <x:c r="S25"/>
      <x:c r="T25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30" customHeight="1">
      <x:c r="A28" s="85" t="str">
        <x:v>Характеристики одного врага для расчёта волн</x:v>
      </x:c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</x:row>
    <x:row r="29" ht="24" customHeight="1">
      <x:c r="A29" s="2" t="str">
        <x:v>HP одного</x:v>
      </x:c>
      <x:c r="B29" s="2"/>
      <x:c r="C29" s="2"/>
      <x:c r="D29" s="2"/>
      <x:c r="E29" s="93" t="n">
        <x:f>'Враги'!B6</x:f>
        <x:v>25</x:v>
      </x:c>
      <x:c r="F29" s="93" t="n">
        <x:f>'Враги'!B7</x:f>
        <x:v>30</x:v>
      </x:c>
      <x:c r="G29" s="93" t="n">
        <x:f>'Враги'!B8</x:f>
        <x:v>30</x:v>
      </x:c>
      <x:c r="H29" s="93" t="n">
        <x:f>'Враги'!B9</x:f>
        <x:v>150</x:v>
      </x:c>
      <x:c r="I29" s="93" t="n">
        <x:f>'Враги'!B10</x:f>
        <x:v>100</x:v>
      </x:c>
      <x:c r="J29" s="93" t="n">
        <x:f>'Враги'!B11</x:f>
        <x:v>100</x:v>
      </x:c>
      <x:c r="K29" s="93" t="n">
        <x:f>'Враги'!B12</x:f>
        <x:v>30</x:v>
      </x:c>
      <x:c r="L29" s="93" t="n">
        <x:f>'Враги'!B13</x:f>
        <x:v>75</x:v>
      </x:c>
      <x:c r="M29" s="93" t="n">
        <x:f>'Враги'!B14</x:f>
        <x:v>300</x:v>
      </x:c>
      <x:c r="N29" s="93" t="n">
        <x:f>'Враги'!B15</x:f>
        <x:v>40</x:v>
      </x:c>
      <x:c r="O29" s="93" t="n">
        <x:f>'Враги'!B16</x:f>
        <x:v>35</x:v>
      </x:c>
      <x:c r="P29" s="93" t="n">
        <x:f>'Враги'!B17</x:f>
        <x:v>30</x:v>
      </x:c>
      <x:c r="Q29" s="93" t="n">
        <x:f>'Враги'!B18</x:f>
        <x:v>40</x:v>
      </x:c>
      <x:c r="R29" s="93" t="n">
        <x:f>'Враги'!B19</x:f>
        <x:v>10000</x:v>
      </x:c>
    </x:row>
    <x:row r="30" ht="24" customHeight="1">
      <x:c r="A30" s="2" t="str">
        <x:v>Золото одного</x:v>
      </x:c>
      <x:c r="B30" s="2"/>
      <x:c r="C30" s="2"/>
      <x:c r="D30" s="2"/>
      <x:c r="E30" s="93" t="n">
        <x:f>'Враги'!H6</x:f>
        <x:v>2</x:v>
      </x:c>
      <x:c r="F30" s="93" t="n">
        <x:f>'Враги'!H7</x:f>
        <x:v>3</x:v>
      </x:c>
      <x:c r="G30" s="93" t="n">
        <x:f>'Враги'!H8</x:f>
        <x:v>3</x:v>
      </x:c>
      <x:c r="H30" s="93" t="n">
        <x:f>'Враги'!H9</x:f>
        <x:v>5</x:v>
      </x:c>
      <x:c r="I30" s="93" t="n">
        <x:f>'Враги'!H10</x:f>
        <x:v>3</x:v>
      </x:c>
      <x:c r="J30" s="93" t="n">
        <x:f>'Враги'!H11</x:f>
        <x:v>3</x:v>
      </x:c>
      <x:c r="K30" s="93" t="n">
        <x:f>'Враги'!H12</x:f>
        <x:v>3</x:v>
      </x:c>
      <x:c r="L30" s="93" t="n">
        <x:f>'Враги'!H13</x:f>
        <x:v>3</x:v>
      </x:c>
      <x:c r="M30" s="93" t="n">
        <x:f>'Враги'!H14</x:f>
        <x:v>6</x:v>
      </x:c>
      <x:c r="N30" s="93" t="n">
        <x:f>'Враги'!H15</x:f>
        <x:v>3</x:v>
      </x:c>
      <x:c r="O30" s="93" t="n">
        <x:f>'Враги'!H16</x:f>
        <x:v>3</x:v>
      </x:c>
      <x:c r="P30" s="93" t="n">
        <x:f>'Враги'!H17</x:f>
        <x:v>3</x:v>
      </x:c>
      <x:c r="Q30" s="93" t="n">
        <x:f>'Враги'!H18</x:f>
        <x:v>3</x:v>
      </x:c>
      <x:c r="R30" s="93" t="n">
        <x:f>'Враги'!H19</x:f>
        <x:v>26</x:v>
      </x:c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A33" s="32" t="str">
        <x:v>Волны 1–15 и 20 — по файлу пользователя. Состав волн 16–19 подготовлен по разрешению пользователя.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A34" s="32" t="str">
        <x:v>Каждая пятая волна выделена цветом. В волне 20 выходит только босс.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A35" s="32" t="str">
        <x:v>HP и золото рассчитаны по исходному составу. D включает бонус зачистки, без ранних вызовов и призванных врагов.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A36" s="32" t="str">
        <x:v>Каждая мини-мумия и копия дают дополнительно 1 золото. Эта переменная сумма не включена в плановые итоги.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A38" s="32" t="str">
        <x:v>S: сколько исходных врагов должно выйти для следующей волны. T: потолок бонуса при немедленном вызове.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A39" s="32" t="str">
        <x:v>Фактический бонус уменьшается со временем до нуля на 90-й секунде. Пример расчёта — на листе «Выход врагов».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7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 ht="27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 ht="27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 ht="27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 ht="27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27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27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27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27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 ht="27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 ht="27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 ht="27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 ht="27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 ht="23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 ht="23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 ht="24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 ht="24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 ht="24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 ht="23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 ht="23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  <x:row r="61" ht="23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</x:row>
  </x:sheetData>
  <x:conditionalFormatting sqref="A6:A25">
    <x:cfRule type="expression" dxfId="1" priority="1">
      <x:formula>MOD(A6,5)=0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ba7d6db5fc4963"/>
  </x:tableParts>
</x:worksheet>
</file>

<file path=xl/worksheets/sheet5.xml><?xml version="1.0" encoding="utf-8"?>
<x:worksheet xmlns:x="http://schemas.openxmlformats.org/spreadsheetml/2006/main">
  <x:sheetPr>
    <x:tabColor rgb="FF214F4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630000114440918" hidden="0" customWidth="1"/>
    <x:col min="2" max="2" width="10.630000114440918" hidden="0" customWidth="1"/>
    <x:col min="3" max="3" width="11.25" hidden="0" customWidth="1"/>
    <x:col min="4" max="4" width="13.75" hidden="0" customWidth="1"/>
    <x:col min="5" max="5" width="14.380000114440918" hidden="0" customWidth="1"/>
    <x:col min="6" max="6" width="15.630000114440918" hidden="0" customWidth="1"/>
    <x:col min="7" max="7" width="16.8799991607666" hidden="0" customWidth="1"/>
    <x:col min="8" max="8" width="11.25" hidden="0" customWidth="1"/>
    <x:col min="9" max="9" width="12.5" hidden="0" customWidth="1"/>
    <x:col min="10" max="10" width="16.25" hidden="0" customWidth="1"/>
  </x:cols>
  <x:sheetData>
    <x:row r="1" ht="36" customHeight="1">
      <x:c r="A1" s="3" t="str">
        <x:v>Расписание Skeleton Cemetry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32" t="str">
        <x:v>Пауза останавливает игровое время. Автоматический старт ждёт зачистки и конца слота. Ранний вызов — вручную.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66" t="str">
        <x:v>Волна</x:v>
      </x:c>
      <x:c r="B5" s="67" t="str">
        <x:v>Партия</x:v>
      </x:c>
      <x:c r="C5" s="67" t="str">
        <x:v>Мобов</x:v>
      </x:c>
      <x:c r="D5" s="67" t="str">
        <x:v>Доля волны</x:v>
      </x:c>
      <x:c r="E5" s="67" t="str">
        <x:v>Первый, с</x:v>
      </x:c>
      <x:c r="F5" s="67" t="str">
        <x:v>Последний, с</x:v>
      </x:c>
      <x:c r="G5" s="67" t="str">
        <x:v>План без вызовов</x:v>
      </x:c>
      <x:c r="H5" s="67" t="str">
        <x:v>Первый №</x:v>
      </x:c>
      <x:c r="I5" s="67" t="str">
        <x:v>Последний №</x:v>
      </x:c>
      <x:c r="J5" s="68" t="str">
        <x:v>Босс</x:v>
      </x:c>
    </x:row>
    <x:row r="6" ht="30" customHeight="1">
      <x:c r="A6" s="70" t="n">
        <x:v>1</x:v>
      </x:c>
      <x:c r="B6" s="70" t="n">
        <x:v>1</x:v>
      </x:c>
      <x:c r="C6" s="70" t="n">
        <x:v>10</x:v>
      </x:c>
      <x:c r="D6" s="95" t="n">
        <x:f>C6/'Волны'!B6</x:f>
        <x:v>0.2</x:v>
      </x:c>
      <x:c r="E6" s="96" t="n">
        <x:v>0.6</x:v>
      </x:c>
      <x:c r="F6" s="96" t="n">
        <x:v>10.104001</x:v>
      </x:c>
      <x:c r="G6" s="98" t="n">
        <x:f>(A6-1)*$B$108/86400</x:f>
        <x:v>0</x:v>
      </x:c>
      <x:c r="H6" s="70" t="n">
        <x:v>1</x:v>
      </x:c>
      <x:c r="I6" s="70" t="n">
        <x:v>10</x:v>
      </x:c>
      <x:c r="J6" s="70"/>
    </x:row>
    <x:row r="7" ht="30" customHeight="1">
      <x:c r="A7" s="72" t="n">
        <x:v>1</x:v>
      </x:c>
      <x:c r="B7" s="72" t="n">
        <x:v>2</x:v>
      </x:c>
      <x:c r="C7" s="72" t="n">
        <x:v>10</x:v>
      </x:c>
      <x:c r="D7" s="95" t="n">
        <x:f>C7/'Волны'!B6</x:f>
        <x:v>0.2</x:v>
      </x:c>
      <x:c r="E7" s="97" t="n">
        <x:v>12.48</x:v>
      </x:c>
      <x:c r="F7" s="97" t="n">
        <x:v>21.984001</x:v>
      </x:c>
      <x:c r="G7" s="98" t="n">
        <x:f>(A7-1)*$B$108/86400</x:f>
        <x:v>0</x:v>
      </x:c>
      <x:c r="H7" s="72" t="n">
        <x:v>11</x:v>
      </x:c>
      <x:c r="I7" s="72" t="n">
        <x:v>20</x:v>
      </x:c>
      <x:c r="J7" s="72"/>
    </x:row>
    <x:row r="8" ht="30" customHeight="1">
      <x:c r="A8" s="70" t="n">
        <x:v>1</x:v>
      </x:c>
      <x:c r="B8" s="70" t="n">
        <x:v>3</x:v>
      </x:c>
      <x:c r="C8" s="70" t="n">
        <x:v>10</x:v>
      </x:c>
      <x:c r="D8" s="95" t="n">
        <x:f>C8/'Волны'!B6</x:f>
        <x:v>0.2</x:v>
      </x:c>
      <x:c r="E8" s="96" t="n">
        <x:v>24.360001</x:v>
      </x:c>
      <x:c r="F8" s="96" t="n">
        <x:v>33.864002</x:v>
      </x:c>
      <x:c r="G8" s="98" t="n">
        <x:f>(A8-1)*$B$108/86400</x:f>
        <x:v>0</x:v>
      </x:c>
      <x:c r="H8" s="70" t="n">
        <x:v>21</x:v>
      </x:c>
      <x:c r="I8" s="70" t="n">
        <x:v>30</x:v>
      </x:c>
      <x:c r="J8" s="70"/>
    </x:row>
    <x:row r="9" ht="30" customHeight="1">
      <x:c r="A9" s="72" t="n">
        <x:v>1</x:v>
      </x:c>
      <x:c r="B9" s="72" t="n">
        <x:v>4</x:v>
      </x:c>
      <x:c r="C9" s="72" t="n">
        <x:v>10</x:v>
      </x:c>
      <x:c r="D9" s="95" t="n">
        <x:f>C9/'Волны'!B6</x:f>
        <x:v>0.2</x:v>
      </x:c>
      <x:c r="E9" s="97" t="n">
        <x:v>36.240002</x:v>
      </x:c>
      <x:c r="F9" s="97" t="n">
        <x:v>45.743999</x:v>
      </x:c>
      <x:c r="G9" s="98" t="n">
        <x:f>(A9-1)*$B$108/86400</x:f>
        <x:v>0</x:v>
      </x:c>
      <x:c r="H9" s="72" t="n">
        <x:v>31</x:v>
      </x:c>
      <x:c r="I9" s="72" t="n">
        <x:v>40</x:v>
      </x:c>
      <x:c r="J9" s="72"/>
    </x:row>
    <x:row r="10" ht="30" customHeight="1">
      <x:c r="A10" s="70" t="n">
        <x:v>1</x:v>
      </x:c>
      <x:c r="B10" s="70" t="n">
        <x:v>5</x:v>
      </x:c>
      <x:c r="C10" s="70" t="n">
        <x:v>10</x:v>
      </x:c>
      <x:c r="D10" s="95" t="n">
        <x:f>C10/'Волны'!B6</x:f>
        <x:v>0.2</x:v>
      </x:c>
      <x:c r="E10" s="96" t="n">
        <x:v>48.119999</x:v>
      </x:c>
      <x:c r="F10" s="96" t="n">
        <x:v>57.624001</x:v>
      </x:c>
      <x:c r="G10" s="98" t="n">
        <x:f>(A10-1)*$B$108/86400</x:f>
        <x:v>0</x:v>
      </x:c>
      <x:c r="H10" s="70" t="n">
        <x:v>41</x:v>
      </x:c>
      <x:c r="I10" s="70" t="n">
        <x:v>50</x:v>
      </x:c>
      <x:c r="J10" s="70"/>
    </x:row>
    <x:row r="11" ht="30" customHeight="1">
      <x:c r="A11" s="72" t="n">
        <x:v>2</x:v>
      </x:c>
      <x:c r="B11" s="72" t="n">
        <x:v>1</x:v>
      </x:c>
      <x:c r="C11" s="72" t="n">
        <x:v>14</x:v>
      </x:c>
      <x:c r="D11" s="95" t="n">
        <x:f>C11/'Волны'!B7</x:f>
        <x:v>0.2</x:v>
      </x:c>
      <x:c r="E11" s="97" t="n">
        <x:v>0.6</x:v>
      </x:c>
      <x:c r="F11" s="97" t="n">
        <x:v>10.104001</x:v>
      </x:c>
      <x:c r="G11" s="98" t="n">
        <x:f>(A11-1)*$B$108/86400</x:f>
        <x:v>0.0010416666666666667</x:v>
      </x:c>
      <x:c r="H11" s="72" t="n">
        <x:v>1</x:v>
      </x:c>
      <x:c r="I11" s="72" t="n">
        <x:v>14</x:v>
      </x:c>
      <x:c r="J11" s="72"/>
    </x:row>
    <x:row r="12" ht="30" customHeight="1">
      <x:c r="A12" s="70" t="n">
        <x:v>2</x:v>
      </x:c>
      <x:c r="B12" s="70" t="n">
        <x:v>2</x:v>
      </x:c>
      <x:c r="C12" s="70" t="n">
        <x:v>14</x:v>
      </x:c>
      <x:c r="D12" s="95" t="n">
        <x:f>C12/'Волны'!B7</x:f>
        <x:v>0.2</x:v>
      </x:c>
      <x:c r="E12" s="96" t="n">
        <x:v>12.48</x:v>
      </x:c>
      <x:c r="F12" s="96" t="n">
        <x:v>21.984001</x:v>
      </x:c>
      <x:c r="G12" s="98" t="n">
        <x:f>(A12-1)*$B$108/86400</x:f>
        <x:v>0.0010416666666666667</x:v>
      </x:c>
      <x:c r="H12" s="70" t="n">
        <x:v>15</x:v>
      </x:c>
      <x:c r="I12" s="70" t="n">
        <x:v>28</x:v>
      </x:c>
      <x:c r="J12" s="70"/>
    </x:row>
    <x:row r="13" ht="30" customHeight="1">
      <x:c r="A13" s="72" t="n">
        <x:v>2</x:v>
      </x:c>
      <x:c r="B13" s="72" t="n">
        <x:v>3</x:v>
      </x:c>
      <x:c r="C13" s="72" t="n">
        <x:v>14</x:v>
      </x:c>
      <x:c r="D13" s="95" t="n">
        <x:f>C13/'Волны'!B7</x:f>
        <x:v>0.2</x:v>
      </x:c>
      <x:c r="E13" s="97" t="n">
        <x:v>24.360001</x:v>
      </x:c>
      <x:c r="F13" s="97" t="n">
        <x:v>33.864002</x:v>
      </x:c>
      <x:c r="G13" s="98" t="n">
        <x:f>(A13-1)*$B$108/86400</x:f>
        <x:v>0.0010416666666666667</x:v>
      </x:c>
      <x:c r="H13" s="72" t="n">
        <x:v>29</x:v>
      </x:c>
      <x:c r="I13" s="72" t="n">
        <x:v>42</x:v>
      </x:c>
      <x:c r="J13" s="72"/>
    </x:row>
    <x:row r="14" ht="30" customHeight="1">
      <x:c r="A14" s="70" t="n">
        <x:v>2</x:v>
      </x:c>
      <x:c r="B14" s="70" t="n">
        <x:v>4</x:v>
      </x:c>
      <x:c r="C14" s="70" t="n">
        <x:v>14</x:v>
      </x:c>
      <x:c r="D14" s="95" t="n">
        <x:f>C14/'Волны'!B7</x:f>
        <x:v>0.2</x:v>
      </x:c>
      <x:c r="E14" s="96" t="n">
        <x:v>36.240002</x:v>
      </x:c>
      <x:c r="F14" s="96" t="n">
        <x:v>45.743999</x:v>
      </x:c>
      <x:c r="G14" s="98" t="n">
        <x:f>(A14-1)*$B$108/86400</x:f>
        <x:v>0.0010416666666666667</x:v>
      </x:c>
      <x:c r="H14" s="70" t="n">
        <x:v>43</x:v>
      </x:c>
      <x:c r="I14" s="70" t="n">
        <x:v>56</x:v>
      </x:c>
      <x:c r="J14" s="70"/>
    </x:row>
    <x:row r="15" ht="30" customHeight="1">
      <x:c r="A15" s="72" t="n">
        <x:v>2</x:v>
      </x:c>
      <x:c r="B15" s="72" t="n">
        <x:v>5</x:v>
      </x:c>
      <x:c r="C15" s="72" t="n">
        <x:v>14</x:v>
      </x:c>
      <x:c r="D15" s="95" t="n">
        <x:f>C15/'Волны'!B7</x:f>
        <x:v>0.2</x:v>
      </x:c>
      <x:c r="E15" s="97" t="n">
        <x:v>48.119999</x:v>
      </x:c>
      <x:c r="F15" s="97" t="n">
        <x:v>57.624001</x:v>
      </x:c>
      <x:c r="G15" s="98" t="n">
        <x:f>(A15-1)*$B$108/86400</x:f>
        <x:v>0.0010416666666666667</x:v>
      </x:c>
      <x:c r="H15" s="72" t="n">
        <x:v>57</x:v>
      </x:c>
      <x:c r="I15" s="72" t="n">
        <x:v>70</x:v>
      </x:c>
      <x:c r="J15" s="72"/>
    </x:row>
    <x:row r="16" ht="30" customHeight="1">
      <x:c r="A16" s="70" t="n">
        <x:v>3</x:v>
      </x:c>
      <x:c r="B16" s="70" t="n">
        <x:v>1</x:v>
      </x:c>
      <x:c r="C16" s="70" t="n">
        <x:v>15</x:v>
      </x:c>
      <x:c r="D16" s="95" t="n">
        <x:f>C16/'Волны'!B8</x:f>
        <x:v>0.2</x:v>
      </x:c>
      <x:c r="E16" s="96" t="n">
        <x:v>0.6</x:v>
      </x:c>
      <x:c r="F16" s="96" t="n">
        <x:v>10.104001</x:v>
      </x:c>
      <x:c r="G16" s="98" t="n">
        <x:f>(A16-1)*$B$108/86400</x:f>
        <x:v>0.0020833333333333333</x:v>
      </x:c>
      <x:c r="H16" s="70" t="n">
        <x:v>1</x:v>
      </x:c>
      <x:c r="I16" s="70" t="n">
        <x:v>15</x:v>
      </x:c>
      <x:c r="J16" s="70"/>
    </x:row>
    <x:row r="17" ht="30" customHeight="1">
      <x:c r="A17" s="72" t="n">
        <x:v>3</x:v>
      </x:c>
      <x:c r="B17" s="72" t="n">
        <x:v>2</x:v>
      </x:c>
      <x:c r="C17" s="72" t="n">
        <x:v>15</x:v>
      </x:c>
      <x:c r="D17" s="95" t="n">
        <x:f>C17/'Волны'!B8</x:f>
        <x:v>0.2</x:v>
      </x:c>
      <x:c r="E17" s="97" t="n">
        <x:v>12.48</x:v>
      </x:c>
      <x:c r="F17" s="97" t="n">
        <x:v>21.984001</x:v>
      </x:c>
      <x:c r="G17" s="98" t="n">
        <x:f>(A17-1)*$B$108/86400</x:f>
        <x:v>0.0020833333333333333</x:v>
      </x:c>
      <x:c r="H17" s="72" t="n">
        <x:v>16</x:v>
      </x:c>
      <x:c r="I17" s="72" t="n">
        <x:v>30</x:v>
      </x:c>
      <x:c r="J17" s="72"/>
    </x:row>
    <x:row r="18" ht="30" customHeight="1">
      <x:c r="A18" s="70" t="n">
        <x:v>3</x:v>
      </x:c>
      <x:c r="B18" s="70" t="n">
        <x:v>3</x:v>
      </x:c>
      <x:c r="C18" s="70" t="n">
        <x:v>15</x:v>
      </x:c>
      <x:c r="D18" s="95" t="n">
        <x:f>C18/'Волны'!B8</x:f>
        <x:v>0.2</x:v>
      </x:c>
      <x:c r="E18" s="96" t="n">
        <x:v>24.360001</x:v>
      </x:c>
      <x:c r="F18" s="96" t="n">
        <x:v>33.864002</x:v>
      </x:c>
      <x:c r="G18" s="98" t="n">
        <x:f>(A18-1)*$B$108/86400</x:f>
        <x:v>0.0020833333333333333</x:v>
      </x:c>
      <x:c r="H18" s="70" t="n">
        <x:v>31</x:v>
      </x:c>
      <x:c r="I18" s="70" t="n">
        <x:v>45</x:v>
      </x:c>
      <x:c r="J18" s="70"/>
    </x:row>
    <x:row r="19" ht="30" customHeight="1">
      <x:c r="A19" s="72" t="n">
        <x:v>3</x:v>
      </x:c>
      <x:c r="B19" s="72" t="n">
        <x:v>4</x:v>
      </x:c>
      <x:c r="C19" s="72" t="n">
        <x:v>15</x:v>
      </x:c>
      <x:c r="D19" s="95" t="n">
        <x:f>C19/'Волны'!B8</x:f>
        <x:v>0.2</x:v>
      </x:c>
      <x:c r="E19" s="97" t="n">
        <x:v>36.240002</x:v>
      </x:c>
      <x:c r="F19" s="97" t="n">
        <x:v>45.743999</x:v>
      </x:c>
      <x:c r="G19" s="98" t="n">
        <x:f>(A19-1)*$B$108/86400</x:f>
        <x:v>0.0020833333333333333</x:v>
      </x:c>
      <x:c r="H19" s="72" t="n">
        <x:v>46</x:v>
      </x:c>
      <x:c r="I19" s="72" t="n">
        <x:v>60</x:v>
      </x:c>
      <x:c r="J19" s="72"/>
    </x:row>
    <x:row r="20" ht="30" customHeight="1">
      <x:c r="A20" s="70" t="n">
        <x:v>3</x:v>
      </x:c>
      <x:c r="B20" s="70" t="n">
        <x:v>5</x:v>
      </x:c>
      <x:c r="C20" s="70" t="n">
        <x:v>15</x:v>
      </x:c>
      <x:c r="D20" s="95" t="n">
        <x:f>C20/'Волны'!B8</x:f>
        <x:v>0.2</x:v>
      </x:c>
      <x:c r="E20" s="96" t="n">
        <x:v>48.119999</x:v>
      </x:c>
      <x:c r="F20" s="96" t="n">
        <x:v>57.624001</x:v>
      </x:c>
      <x:c r="G20" s="98" t="n">
        <x:f>(A20-1)*$B$108/86400</x:f>
        <x:v>0.0020833333333333333</x:v>
      </x:c>
      <x:c r="H20" s="70" t="n">
        <x:v>61</x:v>
      </x:c>
      <x:c r="I20" s="70" t="n">
        <x:v>75</x:v>
      </x:c>
      <x:c r="J20" s="70"/>
    </x:row>
    <x:row r="21" ht="30" customHeight="1">
      <x:c r="A21" s="72" t="n">
        <x:v>4</x:v>
      </x:c>
      <x:c r="B21" s="72" t="n">
        <x:v>1</x:v>
      </x:c>
      <x:c r="C21" s="72" t="n">
        <x:v>12</x:v>
      </x:c>
      <x:c r="D21" s="95" t="n">
        <x:f>C21/'Волны'!B9</x:f>
        <x:v>0.2</x:v>
      </x:c>
      <x:c r="E21" s="97" t="n">
        <x:v>0.6</x:v>
      </x:c>
      <x:c r="F21" s="97" t="n">
        <x:v>10.104001</x:v>
      </x:c>
      <x:c r="G21" s="98" t="n">
        <x:f>(A21-1)*$B$108/86400</x:f>
        <x:v>0.003125</x:v>
      </x:c>
      <x:c r="H21" s="72" t="n">
        <x:v>1</x:v>
      </x:c>
      <x:c r="I21" s="72" t="n">
        <x:v>12</x:v>
      </x:c>
      <x:c r="J21" s="72"/>
    </x:row>
    <x:row r="22" ht="30" customHeight="1">
      <x:c r="A22" s="70" t="n">
        <x:v>4</x:v>
      </x:c>
      <x:c r="B22" s="70" t="n">
        <x:v>2</x:v>
      </x:c>
      <x:c r="C22" s="70" t="n">
        <x:v>12</x:v>
      </x:c>
      <x:c r="D22" s="95" t="n">
        <x:f>C22/'Волны'!B9</x:f>
        <x:v>0.2</x:v>
      </x:c>
      <x:c r="E22" s="96" t="n">
        <x:v>12.48</x:v>
      </x:c>
      <x:c r="F22" s="96" t="n">
        <x:v>21.984001</x:v>
      </x:c>
      <x:c r="G22" s="98" t="n">
        <x:f>(A22-1)*$B$108/86400</x:f>
        <x:v>0.003125</x:v>
      </x:c>
      <x:c r="H22" s="70" t="n">
        <x:v>13</x:v>
      </x:c>
      <x:c r="I22" s="70" t="n">
        <x:v>24</x:v>
      </x:c>
      <x:c r="J22" s="70"/>
    </x:row>
    <x:row r="23" ht="30" customHeight="1">
      <x:c r="A23" s="72" t="n">
        <x:v>4</x:v>
      </x:c>
      <x:c r="B23" s="72" t="n">
        <x:v>3</x:v>
      </x:c>
      <x:c r="C23" s="72" t="n">
        <x:v>12</x:v>
      </x:c>
      <x:c r="D23" s="95" t="n">
        <x:f>C23/'Волны'!B9</x:f>
        <x:v>0.2</x:v>
      </x:c>
      <x:c r="E23" s="97" t="n">
        <x:v>24.360001</x:v>
      </x:c>
      <x:c r="F23" s="97" t="n">
        <x:v>33.864002</x:v>
      </x:c>
      <x:c r="G23" s="98" t="n">
        <x:f>(A23-1)*$B$108/86400</x:f>
        <x:v>0.003125</x:v>
      </x:c>
      <x:c r="H23" s="72" t="n">
        <x:v>25</x:v>
      </x:c>
      <x:c r="I23" s="72" t="n">
        <x:v>36</x:v>
      </x:c>
      <x:c r="J23" s="72"/>
    </x:row>
    <x:row r="24" ht="30" customHeight="1">
      <x:c r="A24" s="70" t="n">
        <x:v>4</x:v>
      </x:c>
      <x:c r="B24" s="70" t="n">
        <x:v>4</x:v>
      </x:c>
      <x:c r="C24" s="70" t="n">
        <x:v>12</x:v>
      </x:c>
      <x:c r="D24" s="95" t="n">
        <x:f>C24/'Волны'!B9</x:f>
        <x:v>0.2</x:v>
      </x:c>
      <x:c r="E24" s="96" t="n">
        <x:v>36.240002</x:v>
      </x:c>
      <x:c r="F24" s="96" t="n">
        <x:v>45.743999</x:v>
      </x:c>
      <x:c r="G24" s="98" t="n">
        <x:f>(A24-1)*$B$108/86400</x:f>
        <x:v>0.003125</x:v>
      </x:c>
      <x:c r="H24" s="70" t="n">
        <x:v>37</x:v>
      </x:c>
      <x:c r="I24" s="70" t="n">
        <x:v>48</x:v>
      </x:c>
      <x:c r="J24" s="70"/>
    </x:row>
    <x:row r="25" ht="30" customHeight="1">
      <x:c r="A25" s="72" t="n">
        <x:v>4</x:v>
      </x:c>
      <x:c r="B25" s="72" t="n">
        <x:v>5</x:v>
      </x:c>
      <x:c r="C25" s="72" t="n">
        <x:v>12</x:v>
      </x:c>
      <x:c r="D25" s="95" t="n">
        <x:f>C25/'Волны'!B9</x:f>
        <x:v>0.2</x:v>
      </x:c>
      <x:c r="E25" s="97" t="n">
        <x:v>48.119999</x:v>
      </x:c>
      <x:c r="F25" s="97" t="n">
        <x:v>57.624001</x:v>
      </x:c>
      <x:c r="G25" s="98" t="n">
        <x:f>(A25-1)*$B$108/86400</x:f>
        <x:v>0.003125</x:v>
      </x:c>
      <x:c r="H25" s="72" t="n">
        <x:v>49</x:v>
      </x:c>
      <x:c r="I25" s="72" t="n">
        <x:v>60</x:v>
      </x:c>
      <x:c r="J25" s="72"/>
    </x:row>
    <x:row r="26" ht="30" customHeight="1">
      <x:c r="A26" s="70" t="n">
        <x:v>5</x:v>
      </x:c>
      <x:c r="B26" s="70" t="n">
        <x:v>1</x:v>
      </x:c>
      <x:c r="C26" s="70" t="n">
        <x:v>14</x:v>
      </x:c>
      <x:c r="D26" s="95" t="n">
        <x:f>C26/'Волны'!B10</x:f>
        <x:v>0.2</x:v>
      </x:c>
      <x:c r="E26" s="96" t="n">
        <x:v>0.6</x:v>
      </x:c>
      <x:c r="F26" s="96" t="n">
        <x:v>10.104001</x:v>
      </x:c>
      <x:c r="G26" s="98" t="n">
        <x:f>(A26-1)*$B$108/86400</x:f>
        <x:v>0.004166666666666667</x:v>
      </x:c>
      <x:c r="H26" s="70" t="n">
        <x:v>1</x:v>
      </x:c>
      <x:c r="I26" s="70" t="n">
        <x:v>14</x:v>
      </x:c>
      <x:c r="J26" s="70"/>
    </x:row>
    <x:row r="27" ht="30" customHeight="1">
      <x:c r="A27" s="72" t="n">
        <x:v>5</x:v>
      </x:c>
      <x:c r="B27" s="72" t="n">
        <x:v>2</x:v>
      </x:c>
      <x:c r="C27" s="72" t="n">
        <x:v>14</x:v>
      </x:c>
      <x:c r="D27" s="95" t="n">
        <x:f>C27/'Волны'!B10</x:f>
        <x:v>0.2</x:v>
      </x:c>
      <x:c r="E27" s="97" t="n">
        <x:v>12.48</x:v>
      </x:c>
      <x:c r="F27" s="97" t="n">
        <x:v>21.984001</x:v>
      </x:c>
      <x:c r="G27" s="98" t="n">
        <x:f>(A27-1)*$B$108/86400</x:f>
        <x:v>0.004166666666666667</x:v>
      </x:c>
      <x:c r="H27" s="72" t="n">
        <x:v>15</x:v>
      </x:c>
      <x:c r="I27" s="72" t="n">
        <x:v>28</x:v>
      </x:c>
      <x:c r="J27" s="72"/>
    </x:row>
    <x:row r="28" ht="30" customHeight="1">
      <x:c r="A28" s="70" t="n">
        <x:v>5</x:v>
      </x:c>
      <x:c r="B28" s="70" t="n">
        <x:v>3</x:v>
      </x:c>
      <x:c r="C28" s="70" t="n">
        <x:v>14</x:v>
      </x:c>
      <x:c r="D28" s="95" t="n">
        <x:f>C28/'Волны'!B10</x:f>
        <x:v>0.2</x:v>
      </x:c>
      <x:c r="E28" s="96" t="n">
        <x:v>24.360001</x:v>
      </x:c>
      <x:c r="F28" s="96" t="n">
        <x:v>33.864002</x:v>
      </x:c>
      <x:c r="G28" s="98" t="n">
        <x:f>(A28-1)*$B$108/86400</x:f>
        <x:v>0.004166666666666667</x:v>
      </x:c>
      <x:c r="H28" s="70" t="n">
        <x:v>29</x:v>
      </x:c>
      <x:c r="I28" s="70" t="n">
        <x:v>42</x:v>
      </x:c>
      <x:c r="J28" s="70"/>
    </x:row>
    <x:row r="29" ht="30" customHeight="1">
      <x:c r="A29" s="72" t="n">
        <x:v>5</x:v>
      </x:c>
      <x:c r="B29" s="72" t="n">
        <x:v>4</x:v>
      </x:c>
      <x:c r="C29" s="72" t="n">
        <x:v>14</x:v>
      </x:c>
      <x:c r="D29" s="95" t="n">
        <x:f>C29/'Волны'!B10</x:f>
        <x:v>0.2</x:v>
      </x:c>
      <x:c r="E29" s="97" t="n">
        <x:v>36.240002</x:v>
      </x:c>
      <x:c r="F29" s="97" t="n">
        <x:v>45.743999</x:v>
      </x:c>
      <x:c r="G29" s="98" t="n">
        <x:f>(A29-1)*$B$108/86400</x:f>
        <x:v>0.004166666666666667</x:v>
      </x:c>
      <x:c r="H29" s="72" t="n">
        <x:v>43</x:v>
      </x:c>
      <x:c r="I29" s="72" t="n">
        <x:v>56</x:v>
      </x:c>
      <x:c r="J29" s="72"/>
    </x:row>
    <x:row r="30" ht="30" customHeight="1">
      <x:c r="A30" s="70" t="n">
        <x:v>5</x:v>
      </x:c>
      <x:c r="B30" s="70" t="n">
        <x:v>5</x:v>
      </x:c>
      <x:c r="C30" s="70" t="n">
        <x:v>14</x:v>
      </x:c>
      <x:c r="D30" s="95" t="n">
        <x:f>C30/'Волны'!B10</x:f>
        <x:v>0.2</x:v>
      </x:c>
      <x:c r="E30" s="96" t="n">
        <x:v>48.119999</x:v>
      </x:c>
      <x:c r="F30" s="96" t="n">
        <x:v>57.624001</x:v>
      </x:c>
      <x:c r="G30" s="98" t="n">
        <x:f>(A30-1)*$B$108/86400</x:f>
        <x:v>0.004166666666666667</x:v>
      </x:c>
      <x:c r="H30" s="70" t="n">
        <x:v>57</x:v>
      </x:c>
      <x:c r="I30" s="70" t="n">
        <x:v>70</x:v>
      </x:c>
      <x:c r="J30" s="70"/>
    </x:row>
    <x:row r="31" ht="30" customHeight="1">
      <x:c r="A31" s="72" t="n">
        <x:v>6</x:v>
      </x:c>
      <x:c r="B31" s="72" t="n">
        <x:v>1</x:v>
      </x:c>
      <x:c r="C31" s="72" t="n">
        <x:v>25</x:v>
      </x:c>
      <x:c r="D31" s="95" t="n">
        <x:f>C31/'Волны'!B11</x:f>
        <x:v>0.2</x:v>
      </x:c>
      <x:c r="E31" s="97" t="n">
        <x:v>0.6</x:v>
      </x:c>
      <x:c r="F31" s="97" t="n">
        <x:v>10.104001</x:v>
      </x:c>
      <x:c r="G31" s="98" t="n">
        <x:f>(A31-1)*$B$108/86400</x:f>
        <x:v>0.005208333333333333</x:v>
      </x:c>
      <x:c r="H31" s="72" t="n">
        <x:v>1</x:v>
      </x:c>
      <x:c r="I31" s="72" t="n">
        <x:v>25</x:v>
      </x:c>
      <x:c r="J31" s="72"/>
    </x:row>
    <x:row r="32" ht="30" customHeight="1">
      <x:c r="A32" s="70" t="n">
        <x:v>6</x:v>
      </x:c>
      <x:c r="B32" s="70" t="n">
        <x:v>2</x:v>
      </x:c>
      <x:c r="C32" s="70" t="n">
        <x:v>25</x:v>
      </x:c>
      <x:c r="D32" s="95" t="n">
        <x:f>C32/'Волны'!B11</x:f>
        <x:v>0.2</x:v>
      </x:c>
      <x:c r="E32" s="96" t="n">
        <x:v>12.48</x:v>
      </x:c>
      <x:c r="F32" s="96" t="n">
        <x:v>21.984001</x:v>
      </x:c>
      <x:c r="G32" s="98" t="n">
        <x:f>(A32-1)*$B$108/86400</x:f>
        <x:v>0.005208333333333333</x:v>
      </x:c>
      <x:c r="H32" s="70" t="n">
        <x:v>26</x:v>
      </x:c>
      <x:c r="I32" s="70" t="n">
        <x:v>50</x:v>
      </x:c>
      <x:c r="J32" s="70"/>
    </x:row>
    <x:row r="33" ht="30" customHeight="1">
      <x:c r="A33" s="72" t="n">
        <x:v>6</x:v>
      </x:c>
      <x:c r="B33" s="72" t="n">
        <x:v>3</x:v>
      </x:c>
      <x:c r="C33" s="72" t="n">
        <x:v>25</x:v>
      </x:c>
      <x:c r="D33" s="95" t="n">
        <x:f>C33/'Волны'!B11</x:f>
        <x:v>0.2</x:v>
      </x:c>
      <x:c r="E33" s="97" t="n">
        <x:v>24.360001</x:v>
      </x:c>
      <x:c r="F33" s="97" t="n">
        <x:v>33.864002</x:v>
      </x:c>
      <x:c r="G33" s="98" t="n">
        <x:f>(A33-1)*$B$108/86400</x:f>
        <x:v>0.005208333333333333</x:v>
      </x:c>
      <x:c r="H33" s="72" t="n">
        <x:v>51</x:v>
      </x:c>
      <x:c r="I33" s="72" t="n">
        <x:v>75</x:v>
      </x:c>
      <x:c r="J33" s="72"/>
    </x:row>
    <x:row r="34" ht="30" customHeight="1">
      <x:c r="A34" s="70" t="n">
        <x:v>6</x:v>
      </x:c>
      <x:c r="B34" s="70" t="n">
        <x:v>4</x:v>
      </x:c>
      <x:c r="C34" s="70" t="n">
        <x:v>25</x:v>
      </x:c>
      <x:c r="D34" s="95" t="n">
        <x:f>C34/'Волны'!B11</x:f>
        <x:v>0.2</x:v>
      </x:c>
      <x:c r="E34" s="96" t="n">
        <x:v>36.240002</x:v>
      </x:c>
      <x:c r="F34" s="96" t="n">
        <x:v>45.743999</x:v>
      </x:c>
      <x:c r="G34" s="98" t="n">
        <x:f>(A34-1)*$B$108/86400</x:f>
        <x:v>0.005208333333333333</x:v>
      </x:c>
      <x:c r="H34" s="70" t="n">
        <x:v>76</x:v>
      </x:c>
      <x:c r="I34" s="70" t="n">
        <x:v>100</x:v>
      </x:c>
      <x:c r="J34" s="70"/>
    </x:row>
    <x:row r="35" ht="30" customHeight="1">
      <x:c r="A35" s="72" t="n">
        <x:v>6</x:v>
      </x:c>
      <x:c r="B35" s="72" t="n">
        <x:v>5</x:v>
      </x:c>
      <x:c r="C35" s="72" t="n">
        <x:v>25</x:v>
      </x:c>
      <x:c r="D35" s="95" t="n">
        <x:f>C35/'Волны'!B11</x:f>
        <x:v>0.2</x:v>
      </x:c>
      <x:c r="E35" s="97" t="n">
        <x:v>48.119999</x:v>
      </x:c>
      <x:c r="F35" s="97" t="n">
        <x:v>57.624001</x:v>
      </x:c>
      <x:c r="G35" s="98" t="n">
        <x:f>(A35-1)*$B$108/86400</x:f>
        <x:v>0.005208333333333333</x:v>
      </x:c>
      <x:c r="H35" s="72" t="n">
        <x:v>101</x:v>
      </x:c>
      <x:c r="I35" s="72" t="n">
        <x:v>125</x:v>
      </x:c>
      <x:c r="J35" s="72"/>
    </x:row>
    <x:row r="36" ht="30" customHeight="1">
      <x:c r="A36" s="70" t="n">
        <x:v>7</x:v>
      </x:c>
      <x:c r="B36" s="70" t="n">
        <x:v>1</x:v>
      </x:c>
      <x:c r="C36" s="70" t="n">
        <x:v>20</x:v>
      </x:c>
      <x:c r="D36" s="95" t="n">
        <x:f>C36/'Волны'!B12</x:f>
        <x:v>0.2</x:v>
      </x:c>
      <x:c r="E36" s="96" t="n">
        <x:v>0.6</x:v>
      </x:c>
      <x:c r="F36" s="96" t="n">
        <x:v>10.104001</x:v>
      </x:c>
      <x:c r="G36" s="98" t="n">
        <x:f>(A36-1)*$B$108/86400</x:f>
        <x:v>0.00625</x:v>
      </x:c>
      <x:c r="H36" s="70" t="n">
        <x:v>1</x:v>
      </x:c>
      <x:c r="I36" s="70" t="n">
        <x:v>20</x:v>
      </x:c>
      <x:c r="J36" s="70"/>
    </x:row>
    <x:row r="37" ht="30" customHeight="1">
      <x:c r="A37" s="72" t="n">
        <x:v>7</x:v>
      </x:c>
      <x:c r="B37" s="72" t="n">
        <x:v>2</x:v>
      </x:c>
      <x:c r="C37" s="72" t="n">
        <x:v>20</x:v>
      </x:c>
      <x:c r="D37" s="95" t="n">
        <x:f>C37/'Волны'!B12</x:f>
        <x:v>0.2</x:v>
      </x:c>
      <x:c r="E37" s="97" t="n">
        <x:v>12.48</x:v>
      </x:c>
      <x:c r="F37" s="97" t="n">
        <x:v>21.984001</x:v>
      </x:c>
      <x:c r="G37" s="98" t="n">
        <x:f>(A37-1)*$B$108/86400</x:f>
        <x:v>0.00625</x:v>
      </x:c>
      <x:c r="H37" s="72" t="n">
        <x:v>21</x:v>
      </x:c>
      <x:c r="I37" s="72" t="n">
        <x:v>40</x:v>
      </x:c>
      <x:c r="J37" s="72"/>
    </x:row>
    <x:row r="38" ht="30" customHeight="1">
      <x:c r="A38" s="70" t="n">
        <x:v>7</x:v>
      </x:c>
      <x:c r="B38" s="70" t="n">
        <x:v>3</x:v>
      </x:c>
      <x:c r="C38" s="70" t="n">
        <x:v>20</x:v>
      </x:c>
      <x:c r="D38" s="95" t="n">
        <x:f>C38/'Волны'!B12</x:f>
        <x:v>0.2</x:v>
      </x:c>
      <x:c r="E38" s="96" t="n">
        <x:v>24.360001</x:v>
      </x:c>
      <x:c r="F38" s="96" t="n">
        <x:v>33.864002</x:v>
      </x:c>
      <x:c r="G38" s="98" t="n">
        <x:f>(A38-1)*$B$108/86400</x:f>
        <x:v>0.00625</x:v>
      </x:c>
      <x:c r="H38" s="70" t="n">
        <x:v>41</x:v>
      </x:c>
      <x:c r="I38" s="70" t="n">
        <x:v>60</x:v>
      </x:c>
      <x:c r="J38" s="70"/>
    </x:row>
    <x:row r="39" ht="30" customHeight="1">
      <x:c r="A39" s="72" t="n">
        <x:v>7</x:v>
      </x:c>
      <x:c r="B39" s="72" t="n">
        <x:v>4</x:v>
      </x:c>
      <x:c r="C39" s="72" t="n">
        <x:v>20</x:v>
      </x:c>
      <x:c r="D39" s="95" t="n">
        <x:f>C39/'Волны'!B12</x:f>
        <x:v>0.2</x:v>
      </x:c>
      <x:c r="E39" s="97" t="n">
        <x:v>36.240002</x:v>
      </x:c>
      <x:c r="F39" s="97" t="n">
        <x:v>45.743999</x:v>
      </x:c>
      <x:c r="G39" s="98" t="n">
        <x:f>(A39-1)*$B$108/86400</x:f>
        <x:v>0.00625</x:v>
      </x:c>
      <x:c r="H39" s="72" t="n">
        <x:v>61</x:v>
      </x:c>
      <x:c r="I39" s="72" t="n">
        <x:v>80</x:v>
      </x:c>
      <x:c r="J39" s="72"/>
    </x:row>
    <x:row r="40" ht="30" customHeight="1">
      <x:c r="A40" s="70" t="n">
        <x:v>7</x:v>
      </x:c>
      <x:c r="B40" s="70" t="n">
        <x:v>5</x:v>
      </x:c>
      <x:c r="C40" s="70" t="n">
        <x:v>20</x:v>
      </x:c>
      <x:c r="D40" s="95" t="n">
        <x:f>C40/'Волны'!B12</x:f>
        <x:v>0.2</x:v>
      </x:c>
      <x:c r="E40" s="96" t="n">
        <x:v>48.119999</x:v>
      </x:c>
      <x:c r="F40" s="96" t="n">
        <x:v>57.624001</x:v>
      </x:c>
      <x:c r="G40" s="98" t="n">
        <x:f>(A40-1)*$B$108/86400</x:f>
        <x:v>0.00625</x:v>
      </x:c>
      <x:c r="H40" s="70" t="n">
        <x:v>81</x:v>
      </x:c>
      <x:c r="I40" s="70" t="n">
        <x:v>100</x:v>
      </x:c>
      <x:c r="J40" s="70"/>
    </x:row>
    <x:row r="41" ht="30" customHeight="1">
      <x:c r="A41" s="72" t="n">
        <x:v>8</x:v>
      </x:c>
      <x:c r="B41" s="72" t="n">
        <x:v>1</x:v>
      </x:c>
      <x:c r="C41" s="72" t="n">
        <x:v>20</x:v>
      </x:c>
      <x:c r="D41" s="95" t="n">
        <x:f>C41/'Волны'!B13</x:f>
        <x:v>0.2</x:v>
      </x:c>
      <x:c r="E41" s="97" t="n">
        <x:v>0.6</x:v>
      </x:c>
      <x:c r="F41" s="97" t="n">
        <x:v>10.104001</x:v>
      </x:c>
      <x:c r="G41" s="98" t="n">
        <x:f>(A41-1)*$B$108/86400</x:f>
        <x:v>0.007291666666666667</x:v>
      </x:c>
      <x:c r="H41" s="72" t="n">
        <x:v>1</x:v>
      </x:c>
      <x:c r="I41" s="72" t="n">
        <x:v>20</x:v>
      </x:c>
      <x:c r="J41" s="72"/>
    </x:row>
    <x:row r="42" ht="30" customHeight="1">
      <x:c r="A42" s="70" t="n">
        <x:v>8</x:v>
      </x:c>
      <x:c r="B42" s="70" t="n">
        <x:v>2</x:v>
      </x:c>
      <x:c r="C42" s="70" t="n">
        <x:v>20</x:v>
      </x:c>
      <x:c r="D42" s="95" t="n">
        <x:f>C42/'Волны'!B13</x:f>
        <x:v>0.2</x:v>
      </x:c>
      <x:c r="E42" s="96" t="n">
        <x:v>12.48</x:v>
      </x:c>
      <x:c r="F42" s="96" t="n">
        <x:v>21.984001</x:v>
      </x:c>
      <x:c r="G42" s="98" t="n">
        <x:f>(A42-1)*$B$108/86400</x:f>
        <x:v>0.007291666666666667</x:v>
      </x:c>
      <x:c r="H42" s="70" t="n">
        <x:v>21</x:v>
      </x:c>
      <x:c r="I42" s="70" t="n">
        <x:v>40</x:v>
      </x:c>
      <x:c r="J42" s="70"/>
    </x:row>
    <x:row r="43" ht="30" customHeight="1">
      <x:c r="A43" s="72" t="n">
        <x:v>8</x:v>
      </x:c>
      <x:c r="B43" s="72" t="n">
        <x:v>3</x:v>
      </x:c>
      <x:c r="C43" s="72" t="n">
        <x:v>20</x:v>
      </x:c>
      <x:c r="D43" s="95" t="n">
        <x:f>C43/'Волны'!B13</x:f>
        <x:v>0.2</x:v>
      </x:c>
      <x:c r="E43" s="97" t="n">
        <x:v>24.360001</x:v>
      </x:c>
      <x:c r="F43" s="97" t="n">
        <x:v>33.864002</x:v>
      </x:c>
      <x:c r="G43" s="98" t="n">
        <x:f>(A43-1)*$B$108/86400</x:f>
        <x:v>0.007291666666666667</x:v>
      </x:c>
      <x:c r="H43" s="72" t="n">
        <x:v>41</x:v>
      </x:c>
      <x:c r="I43" s="72" t="n">
        <x:v>60</x:v>
      </x:c>
      <x:c r="J43" s="72"/>
    </x:row>
    <x:row r="44" ht="30" customHeight="1">
      <x:c r="A44" s="70" t="n">
        <x:v>8</x:v>
      </x:c>
      <x:c r="B44" s="70" t="n">
        <x:v>4</x:v>
      </x:c>
      <x:c r="C44" s="70" t="n">
        <x:v>20</x:v>
      </x:c>
      <x:c r="D44" s="95" t="n">
        <x:f>C44/'Волны'!B13</x:f>
        <x:v>0.2</x:v>
      </x:c>
      <x:c r="E44" s="96" t="n">
        <x:v>36.240002</x:v>
      </x:c>
      <x:c r="F44" s="96" t="n">
        <x:v>45.743999</x:v>
      </x:c>
      <x:c r="G44" s="98" t="n">
        <x:f>(A44-1)*$B$108/86400</x:f>
        <x:v>0.007291666666666667</x:v>
      </x:c>
      <x:c r="H44" s="70" t="n">
        <x:v>61</x:v>
      </x:c>
      <x:c r="I44" s="70" t="n">
        <x:v>80</x:v>
      </x:c>
      <x:c r="J44" s="70"/>
    </x:row>
    <x:row r="45" ht="30" customHeight="1">
      <x:c r="A45" s="72" t="n">
        <x:v>8</x:v>
      </x:c>
      <x:c r="B45" s="72" t="n">
        <x:v>5</x:v>
      </x:c>
      <x:c r="C45" s="72" t="n">
        <x:v>20</x:v>
      </x:c>
      <x:c r="D45" s="95" t="n">
        <x:f>C45/'Волны'!B13</x:f>
        <x:v>0.2</x:v>
      </x:c>
      <x:c r="E45" s="97" t="n">
        <x:v>48.119999</x:v>
      </x:c>
      <x:c r="F45" s="97" t="n">
        <x:v>57.624001</x:v>
      </x:c>
      <x:c r="G45" s="98" t="n">
        <x:f>(A45-1)*$B$108/86400</x:f>
        <x:v>0.007291666666666667</x:v>
      </x:c>
      <x:c r="H45" s="72" t="n">
        <x:v>81</x:v>
      </x:c>
      <x:c r="I45" s="72" t="n">
        <x:v>100</x:v>
      </x:c>
      <x:c r="J45" s="72"/>
    </x:row>
    <x:row r="46" ht="30" customHeight="1">
      <x:c r="A46" s="70" t="n">
        <x:v>9</x:v>
      </x:c>
      <x:c r="B46" s="70" t="n">
        <x:v>1</x:v>
      </x:c>
      <x:c r="C46" s="70" t="n">
        <x:v>18</x:v>
      </x:c>
      <x:c r="D46" s="95" t="n">
        <x:f>C46/'Волны'!B14</x:f>
        <x:v>0.2</x:v>
      </x:c>
      <x:c r="E46" s="96" t="n">
        <x:v>0.6</x:v>
      </x:c>
      <x:c r="F46" s="96" t="n">
        <x:v>10.104001</x:v>
      </x:c>
      <x:c r="G46" s="98" t="n">
        <x:f>(A46-1)*$B$108/86400</x:f>
        <x:v>0.008333333333333333</x:v>
      </x:c>
      <x:c r="H46" s="70" t="n">
        <x:v>1</x:v>
      </x:c>
      <x:c r="I46" s="70" t="n">
        <x:v>18</x:v>
      </x:c>
      <x:c r="J46" s="70"/>
    </x:row>
    <x:row r="47" ht="30" customHeight="1">
      <x:c r="A47" s="72" t="n">
        <x:v>9</x:v>
      </x:c>
      <x:c r="B47" s="72" t="n">
        <x:v>2</x:v>
      </x:c>
      <x:c r="C47" s="72" t="n">
        <x:v>18</x:v>
      </x:c>
      <x:c r="D47" s="95" t="n">
        <x:f>C47/'Волны'!B14</x:f>
        <x:v>0.2</x:v>
      </x:c>
      <x:c r="E47" s="97" t="n">
        <x:v>12.48</x:v>
      </x:c>
      <x:c r="F47" s="97" t="n">
        <x:v>21.984001</x:v>
      </x:c>
      <x:c r="G47" s="98" t="n">
        <x:f>(A47-1)*$B$108/86400</x:f>
        <x:v>0.008333333333333333</x:v>
      </x:c>
      <x:c r="H47" s="72" t="n">
        <x:v>19</x:v>
      </x:c>
      <x:c r="I47" s="72" t="n">
        <x:v>36</x:v>
      </x:c>
      <x:c r="J47" s="72"/>
    </x:row>
    <x:row r="48" ht="30" customHeight="1">
      <x:c r="A48" s="70" t="n">
        <x:v>9</x:v>
      </x:c>
      <x:c r="B48" s="70" t="n">
        <x:v>3</x:v>
      </x:c>
      <x:c r="C48" s="70" t="n">
        <x:v>18</x:v>
      </x:c>
      <x:c r="D48" s="95" t="n">
        <x:f>C48/'Волны'!B14</x:f>
        <x:v>0.2</x:v>
      </x:c>
      <x:c r="E48" s="96" t="n">
        <x:v>24.360001</x:v>
      </x:c>
      <x:c r="F48" s="96" t="n">
        <x:v>33.864002</x:v>
      </x:c>
      <x:c r="G48" s="98" t="n">
        <x:f>(A48-1)*$B$108/86400</x:f>
        <x:v>0.008333333333333333</x:v>
      </x:c>
      <x:c r="H48" s="70" t="n">
        <x:v>37</x:v>
      </x:c>
      <x:c r="I48" s="70" t="n">
        <x:v>54</x:v>
      </x:c>
      <x:c r="J48" s="70"/>
    </x:row>
    <x:row r="49" ht="30" customHeight="1">
      <x:c r="A49" s="72" t="n">
        <x:v>9</x:v>
      </x:c>
      <x:c r="B49" s="72" t="n">
        <x:v>4</x:v>
      </x:c>
      <x:c r="C49" s="72" t="n">
        <x:v>18</x:v>
      </x:c>
      <x:c r="D49" s="95" t="n">
        <x:f>C49/'Волны'!B14</x:f>
        <x:v>0.2</x:v>
      </x:c>
      <x:c r="E49" s="97" t="n">
        <x:v>36.240002</x:v>
      </x:c>
      <x:c r="F49" s="97" t="n">
        <x:v>45.743999</x:v>
      </x:c>
      <x:c r="G49" s="98" t="n">
        <x:f>(A49-1)*$B$108/86400</x:f>
        <x:v>0.008333333333333333</x:v>
      </x:c>
      <x:c r="H49" s="72" t="n">
        <x:v>55</x:v>
      </x:c>
      <x:c r="I49" s="72" t="n">
        <x:v>72</x:v>
      </x:c>
      <x:c r="J49" s="72"/>
    </x:row>
    <x:row r="50" ht="30" customHeight="1">
      <x:c r="A50" s="70" t="n">
        <x:v>9</x:v>
      </x:c>
      <x:c r="B50" s="70" t="n">
        <x:v>5</x:v>
      </x:c>
      <x:c r="C50" s="70" t="n">
        <x:v>18</x:v>
      </x:c>
      <x:c r="D50" s="95" t="n">
        <x:f>C50/'Волны'!B14</x:f>
        <x:v>0.2</x:v>
      </x:c>
      <x:c r="E50" s="96" t="n">
        <x:v>48.119999</x:v>
      </x:c>
      <x:c r="F50" s="96" t="n">
        <x:v>57.624001</x:v>
      </x:c>
      <x:c r="G50" s="98" t="n">
        <x:f>(A50-1)*$B$108/86400</x:f>
        <x:v>0.008333333333333333</x:v>
      </x:c>
      <x:c r="H50" s="70" t="n">
        <x:v>73</x:v>
      </x:c>
      <x:c r="I50" s="70" t="n">
        <x:v>90</x:v>
      </x:c>
      <x:c r="J50" s="70"/>
    </x:row>
    <x:row r="51" ht="30" customHeight="1">
      <x:c r="A51" s="72" t="n">
        <x:v>10</x:v>
      </x:c>
      <x:c r="B51" s="72" t="n">
        <x:v>1</x:v>
      </x:c>
      <x:c r="C51" s="72" t="n">
        <x:v>40</x:v>
      </x:c>
      <x:c r="D51" s="95" t="n">
        <x:f>C51/'Волны'!B15</x:f>
        <x:v>0.2</x:v>
      </x:c>
      <x:c r="E51" s="97" t="n">
        <x:v>0.6</x:v>
      </x:c>
      <x:c r="F51" s="97" t="n">
        <x:v>10.104001</x:v>
      </x:c>
      <x:c r="G51" s="98" t="n">
        <x:f>(A51-1)*$B$108/86400</x:f>
        <x:v>0.009375</x:v>
      </x:c>
      <x:c r="H51" s="72" t="n">
        <x:v>1</x:v>
      </x:c>
      <x:c r="I51" s="72" t="n">
        <x:v>40</x:v>
      </x:c>
      <x:c r="J51" s="72"/>
    </x:row>
    <x:row r="52" ht="30" customHeight="1">
      <x:c r="A52" s="70" t="n">
        <x:v>10</x:v>
      </x:c>
      <x:c r="B52" s="70" t="n">
        <x:v>2</x:v>
      </x:c>
      <x:c r="C52" s="70" t="n">
        <x:v>40</x:v>
      </x:c>
      <x:c r="D52" s="95" t="n">
        <x:f>C52/'Волны'!B15</x:f>
        <x:v>0.2</x:v>
      </x:c>
      <x:c r="E52" s="96" t="n">
        <x:v>12.48</x:v>
      </x:c>
      <x:c r="F52" s="96" t="n">
        <x:v>21.984001</x:v>
      </x:c>
      <x:c r="G52" s="98" t="n">
        <x:f>(A52-1)*$B$108/86400</x:f>
        <x:v>0.009375</x:v>
      </x:c>
      <x:c r="H52" s="70" t="n">
        <x:v>41</x:v>
      </x:c>
      <x:c r="I52" s="70" t="n">
        <x:v>80</x:v>
      </x:c>
      <x:c r="J52" s="70"/>
    </x:row>
    <x:row r="53" ht="30" customHeight="1">
      <x:c r="A53" s="72" t="n">
        <x:v>10</x:v>
      </x:c>
      <x:c r="B53" s="72" t="n">
        <x:v>3</x:v>
      </x:c>
      <x:c r="C53" s="72" t="n">
        <x:v>40</x:v>
      </x:c>
      <x:c r="D53" s="95" t="n">
        <x:f>C53/'Волны'!B15</x:f>
        <x:v>0.2</x:v>
      </x:c>
      <x:c r="E53" s="97" t="n">
        <x:v>24.360001</x:v>
      </x:c>
      <x:c r="F53" s="97" t="n">
        <x:v>33.864002</x:v>
      </x:c>
      <x:c r="G53" s="98" t="n">
        <x:f>(A53-1)*$B$108/86400</x:f>
        <x:v>0.009375</x:v>
      </x:c>
      <x:c r="H53" s="72" t="n">
        <x:v>81</x:v>
      </x:c>
      <x:c r="I53" s="72" t="n">
        <x:v>120</x:v>
      </x:c>
      <x:c r="J53" s="72"/>
    </x:row>
    <x:row r="54" ht="30" customHeight="1">
      <x:c r="A54" s="70" t="n">
        <x:v>10</x:v>
      </x:c>
      <x:c r="B54" s="70" t="n">
        <x:v>4</x:v>
      </x:c>
      <x:c r="C54" s="70" t="n">
        <x:v>40</x:v>
      </x:c>
      <x:c r="D54" s="95" t="n">
        <x:f>C54/'Волны'!B15</x:f>
        <x:v>0.2</x:v>
      </x:c>
      <x:c r="E54" s="96" t="n">
        <x:v>36.240002</x:v>
      </x:c>
      <x:c r="F54" s="96" t="n">
        <x:v>45.743999</x:v>
      </x:c>
      <x:c r="G54" s="98" t="n">
        <x:f>(A54-1)*$B$108/86400</x:f>
        <x:v>0.009375</x:v>
      </x:c>
      <x:c r="H54" s="70" t="n">
        <x:v>121</x:v>
      </x:c>
      <x:c r="I54" s="70" t="n">
        <x:v>160</x:v>
      </x:c>
      <x:c r="J54" s="70"/>
    </x:row>
    <x:row r="55" ht="30" customHeight="1">
      <x:c r="A55" s="72" t="n">
        <x:v>10</x:v>
      </x:c>
      <x:c r="B55" s="72" t="n">
        <x:v>5</x:v>
      </x:c>
      <x:c r="C55" s="72" t="n">
        <x:v>40</x:v>
      </x:c>
      <x:c r="D55" s="95" t="n">
        <x:f>C55/'Волны'!B15</x:f>
        <x:v>0.2</x:v>
      </x:c>
      <x:c r="E55" s="97" t="n">
        <x:v>48.119999</x:v>
      </x:c>
      <x:c r="F55" s="97" t="n">
        <x:v>57.624001</x:v>
      </x:c>
      <x:c r="G55" s="98" t="n">
        <x:f>(A55-1)*$B$108/86400</x:f>
        <x:v>0.009375</x:v>
      </x:c>
      <x:c r="H55" s="72" t="n">
        <x:v>161</x:v>
      </x:c>
      <x:c r="I55" s="72" t="n">
        <x:v>200</x:v>
      </x:c>
      <x:c r="J55" s="72"/>
    </x:row>
    <x:row r="56" ht="30" customHeight="1">
      <x:c r="A56" s="70" t="n">
        <x:v>11</x:v>
      </x:c>
      <x:c r="B56" s="70" t="n">
        <x:v>1</x:v>
      </x:c>
      <x:c r="C56" s="70" t="n">
        <x:v>25</x:v>
      </x:c>
      <x:c r="D56" s="95" t="n">
        <x:f>C56/'Волны'!B16</x:f>
        <x:v>0.2</x:v>
      </x:c>
      <x:c r="E56" s="96" t="n">
        <x:v>0.6</x:v>
      </x:c>
      <x:c r="F56" s="96" t="n">
        <x:v>10.104001</x:v>
      </x:c>
      <x:c r="G56" s="98" t="n">
        <x:f>(A56-1)*$B$108/86400</x:f>
        <x:v>0.010416666666666666</x:v>
      </x:c>
      <x:c r="H56" s="70" t="n">
        <x:v>1</x:v>
      </x:c>
      <x:c r="I56" s="70" t="n">
        <x:v>25</x:v>
      </x:c>
      <x:c r="J56" s="70"/>
    </x:row>
    <x:row r="57" ht="30" customHeight="1">
      <x:c r="A57" s="72" t="n">
        <x:v>11</x:v>
      </x:c>
      <x:c r="B57" s="72" t="n">
        <x:v>2</x:v>
      </x:c>
      <x:c r="C57" s="72" t="n">
        <x:v>25</x:v>
      </x:c>
      <x:c r="D57" s="95" t="n">
        <x:f>C57/'Волны'!B16</x:f>
        <x:v>0.2</x:v>
      </x:c>
      <x:c r="E57" s="97" t="n">
        <x:v>12.48</x:v>
      </x:c>
      <x:c r="F57" s="97" t="n">
        <x:v>21.984001</x:v>
      </x:c>
      <x:c r="G57" s="98" t="n">
        <x:f>(A57-1)*$B$108/86400</x:f>
        <x:v>0.010416666666666666</x:v>
      </x:c>
      <x:c r="H57" s="72" t="n">
        <x:v>26</x:v>
      </x:c>
      <x:c r="I57" s="72" t="n">
        <x:v>50</x:v>
      </x:c>
      <x:c r="J57" s="72"/>
    </x:row>
    <x:row r="58" ht="30" customHeight="1">
      <x:c r="A58" s="70" t="n">
        <x:v>11</x:v>
      </x:c>
      <x:c r="B58" s="70" t="n">
        <x:v>3</x:v>
      </x:c>
      <x:c r="C58" s="70" t="n">
        <x:v>25</x:v>
      </x:c>
      <x:c r="D58" s="95" t="n">
        <x:f>C58/'Волны'!B16</x:f>
        <x:v>0.2</x:v>
      </x:c>
      <x:c r="E58" s="96" t="n">
        <x:v>24.360001</x:v>
      </x:c>
      <x:c r="F58" s="96" t="n">
        <x:v>33.864002</x:v>
      </x:c>
      <x:c r="G58" s="98" t="n">
        <x:f>(A58-1)*$B$108/86400</x:f>
        <x:v>0.010416666666666666</x:v>
      </x:c>
      <x:c r="H58" s="70" t="n">
        <x:v>51</x:v>
      </x:c>
      <x:c r="I58" s="70" t="n">
        <x:v>75</x:v>
      </x:c>
      <x:c r="J58" s="70"/>
    </x:row>
    <x:row r="59" ht="30" customHeight="1">
      <x:c r="A59" s="72" t="n">
        <x:v>11</x:v>
      </x:c>
      <x:c r="B59" s="72" t="n">
        <x:v>4</x:v>
      </x:c>
      <x:c r="C59" s="72" t="n">
        <x:v>25</x:v>
      </x:c>
      <x:c r="D59" s="95" t="n">
        <x:f>C59/'Волны'!B16</x:f>
        <x:v>0.2</x:v>
      </x:c>
      <x:c r="E59" s="97" t="n">
        <x:v>36.240002</x:v>
      </x:c>
      <x:c r="F59" s="97" t="n">
        <x:v>45.743999</x:v>
      </x:c>
      <x:c r="G59" s="98" t="n">
        <x:f>(A59-1)*$B$108/86400</x:f>
        <x:v>0.010416666666666666</x:v>
      </x:c>
      <x:c r="H59" s="72" t="n">
        <x:v>76</x:v>
      </x:c>
      <x:c r="I59" s="72" t="n">
        <x:v>100</x:v>
      </x:c>
      <x:c r="J59" s="72"/>
    </x:row>
    <x:row r="60" ht="30" customHeight="1">
      <x:c r="A60" s="70" t="n">
        <x:v>11</x:v>
      </x:c>
      <x:c r="B60" s="70" t="n">
        <x:v>5</x:v>
      </x:c>
      <x:c r="C60" s="70" t="n">
        <x:v>25</x:v>
      </x:c>
      <x:c r="D60" s="95" t="n">
        <x:f>C60/'Волны'!B16</x:f>
        <x:v>0.2</x:v>
      </x:c>
      <x:c r="E60" s="96" t="n">
        <x:v>48.119999</x:v>
      </x:c>
      <x:c r="F60" s="96" t="n">
        <x:v>57.624001</x:v>
      </x:c>
      <x:c r="G60" s="98" t="n">
        <x:f>(A60-1)*$B$108/86400</x:f>
        <x:v>0.010416666666666666</x:v>
      </x:c>
      <x:c r="H60" s="70" t="n">
        <x:v>101</x:v>
      </x:c>
      <x:c r="I60" s="70" t="n">
        <x:v>125</x:v>
      </x:c>
      <x:c r="J60" s="70"/>
    </x:row>
    <x:row r="61" ht="30" customHeight="1">
      <x:c r="A61" s="72" t="n">
        <x:v>12</x:v>
      </x:c>
      <x:c r="B61" s="72" t="n">
        <x:v>1</x:v>
      </x:c>
      <x:c r="C61" s="72" t="n">
        <x:v>26</x:v>
      </x:c>
      <x:c r="D61" s="95" t="n">
        <x:f>C61/'Волны'!B17</x:f>
        <x:v>0.2</x:v>
      </x:c>
      <x:c r="E61" s="97" t="n">
        <x:v>0.6</x:v>
      </x:c>
      <x:c r="F61" s="97" t="n">
        <x:v>10.104001</x:v>
      </x:c>
      <x:c r="G61" s="98" t="n">
        <x:f>(A61-1)*$B$108/86400</x:f>
        <x:v>0.011458333333333333</x:v>
      </x:c>
      <x:c r="H61" s="72" t="n">
        <x:v>1</x:v>
      </x:c>
      <x:c r="I61" s="72" t="n">
        <x:v>26</x:v>
      </x:c>
      <x:c r="J61" s="72"/>
    </x:row>
    <x:row r="62" ht="30" customHeight="1">
      <x:c r="A62" s="70" t="n">
        <x:v>12</x:v>
      </x:c>
      <x:c r="B62" s="70" t="n">
        <x:v>2</x:v>
      </x:c>
      <x:c r="C62" s="70" t="n">
        <x:v>26</x:v>
      </x:c>
      <x:c r="D62" s="95" t="n">
        <x:f>C62/'Волны'!B17</x:f>
        <x:v>0.2</x:v>
      </x:c>
      <x:c r="E62" s="96" t="n">
        <x:v>12.48</x:v>
      </x:c>
      <x:c r="F62" s="96" t="n">
        <x:v>21.984001</x:v>
      </x:c>
      <x:c r="G62" s="98" t="n">
        <x:f>(A62-1)*$B$108/86400</x:f>
        <x:v>0.011458333333333333</x:v>
      </x:c>
      <x:c r="H62" s="70" t="n">
        <x:v>27</x:v>
      </x:c>
      <x:c r="I62" s="70" t="n">
        <x:v>52</x:v>
      </x:c>
      <x:c r="J62" s="70"/>
    </x:row>
    <x:row r="63" ht="30" customHeight="1">
      <x:c r="A63" s="72" t="n">
        <x:v>12</x:v>
      </x:c>
      <x:c r="B63" s="72" t="n">
        <x:v>3</x:v>
      </x:c>
      <x:c r="C63" s="72" t="n">
        <x:v>26</x:v>
      </x:c>
      <x:c r="D63" s="95" t="n">
        <x:f>C63/'Волны'!B17</x:f>
        <x:v>0.2</x:v>
      </x:c>
      <x:c r="E63" s="97" t="n">
        <x:v>24.360001</x:v>
      </x:c>
      <x:c r="F63" s="97" t="n">
        <x:v>33.864002</x:v>
      </x:c>
      <x:c r="G63" s="98" t="n">
        <x:f>(A63-1)*$B$108/86400</x:f>
        <x:v>0.011458333333333333</x:v>
      </x:c>
      <x:c r="H63" s="72" t="n">
        <x:v>53</x:v>
      </x:c>
      <x:c r="I63" s="72" t="n">
        <x:v>78</x:v>
      </x:c>
      <x:c r="J63" s="72"/>
    </x:row>
    <x:row r="64" ht="30" customHeight="1">
      <x:c r="A64" s="70" t="n">
        <x:v>12</x:v>
      </x:c>
      <x:c r="B64" s="70" t="n">
        <x:v>4</x:v>
      </x:c>
      <x:c r="C64" s="70" t="n">
        <x:v>26</x:v>
      </x:c>
      <x:c r="D64" s="95" t="n">
        <x:f>C64/'Волны'!B17</x:f>
        <x:v>0.2</x:v>
      </x:c>
      <x:c r="E64" s="96" t="n">
        <x:v>36.240002</x:v>
      </x:c>
      <x:c r="F64" s="96" t="n">
        <x:v>45.743999</x:v>
      </x:c>
      <x:c r="G64" s="98" t="n">
        <x:f>(A64-1)*$B$108/86400</x:f>
        <x:v>0.011458333333333333</x:v>
      </x:c>
      <x:c r="H64" s="70" t="n">
        <x:v>79</x:v>
      </x:c>
      <x:c r="I64" s="70" t="n">
        <x:v>104</x:v>
      </x:c>
      <x:c r="J64" s="70"/>
    </x:row>
    <x:row r="65" ht="30" customHeight="1">
      <x:c r="A65" s="72" t="n">
        <x:v>12</x:v>
      </x:c>
      <x:c r="B65" s="72" t="n">
        <x:v>5</x:v>
      </x:c>
      <x:c r="C65" s="72" t="n">
        <x:v>26</x:v>
      </x:c>
      <x:c r="D65" s="95" t="n">
        <x:f>C65/'Волны'!B17</x:f>
        <x:v>0.2</x:v>
      </x:c>
      <x:c r="E65" s="97" t="n">
        <x:v>48.119999</x:v>
      </x:c>
      <x:c r="F65" s="97" t="n">
        <x:v>57.624001</x:v>
      </x:c>
      <x:c r="G65" s="98" t="n">
        <x:f>(A65-1)*$B$108/86400</x:f>
        <x:v>0.011458333333333333</x:v>
      </x:c>
      <x:c r="H65" s="72" t="n">
        <x:v>105</x:v>
      </x:c>
      <x:c r="I65" s="72" t="n">
        <x:v>130</x:v>
      </x:c>
      <x:c r="J65" s="72"/>
    </x:row>
    <x:row r="66" ht="30" customHeight="1">
      <x:c r="A66" s="70" t="n">
        <x:v>13</x:v>
      </x:c>
      <x:c r="B66" s="70" t="n">
        <x:v>1</x:v>
      </x:c>
      <x:c r="C66" s="70" t="n">
        <x:v>30</x:v>
      </x:c>
      <x:c r="D66" s="95" t="n">
        <x:f>C66/'Волны'!B18</x:f>
        <x:v>0.2</x:v>
      </x:c>
      <x:c r="E66" s="96" t="n">
        <x:v>0.6</x:v>
      </x:c>
      <x:c r="F66" s="96" t="n">
        <x:v>10.104001</x:v>
      </x:c>
      <x:c r="G66" s="98" t="n">
        <x:f>(A66-1)*$B$108/86400</x:f>
        <x:v>0.0125</x:v>
      </x:c>
      <x:c r="H66" s="70" t="n">
        <x:v>1</x:v>
      </x:c>
      <x:c r="I66" s="70" t="n">
        <x:v>30</x:v>
      </x:c>
      <x:c r="J66" s="70"/>
    </x:row>
    <x:row r="67" ht="30" customHeight="1">
      <x:c r="A67" s="72" t="n">
        <x:v>13</x:v>
      </x:c>
      <x:c r="B67" s="72" t="n">
        <x:v>2</x:v>
      </x:c>
      <x:c r="C67" s="72" t="n">
        <x:v>30</x:v>
      </x:c>
      <x:c r="D67" s="95" t="n">
        <x:f>C67/'Волны'!B18</x:f>
        <x:v>0.2</x:v>
      </x:c>
      <x:c r="E67" s="97" t="n">
        <x:v>12.48</x:v>
      </x:c>
      <x:c r="F67" s="97" t="n">
        <x:v>21.984001</x:v>
      </x:c>
      <x:c r="G67" s="98" t="n">
        <x:f>(A67-1)*$B$108/86400</x:f>
        <x:v>0.0125</x:v>
      </x:c>
      <x:c r="H67" s="72" t="n">
        <x:v>31</x:v>
      </x:c>
      <x:c r="I67" s="72" t="n">
        <x:v>60</x:v>
      </x:c>
      <x:c r="J67" s="72"/>
    </x:row>
    <x:row r="68" ht="30" customHeight="1">
      <x:c r="A68" s="70" t="n">
        <x:v>13</x:v>
      </x:c>
      <x:c r="B68" s="70" t="n">
        <x:v>3</x:v>
      </x:c>
      <x:c r="C68" s="70" t="n">
        <x:v>30</x:v>
      </x:c>
      <x:c r="D68" s="95" t="n">
        <x:f>C68/'Волны'!B18</x:f>
        <x:v>0.2</x:v>
      </x:c>
      <x:c r="E68" s="96" t="n">
        <x:v>24.360001</x:v>
      </x:c>
      <x:c r="F68" s="96" t="n">
        <x:v>33.864002</x:v>
      </x:c>
      <x:c r="G68" s="98" t="n">
        <x:f>(A68-1)*$B$108/86400</x:f>
        <x:v>0.0125</x:v>
      </x:c>
      <x:c r="H68" s="70" t="n">
        <x:v>61</x:v>
      </x:c>
      <x:c r="I68" s="70" t="n">
        <x:v>90</x:v>
      </x:c>
      <x:c r="J68" s="70"/>
    </x:row>
    <x:row r="69" ht="30" customHeight="1">
      <x:c r="A69" s="72" t="n">
        <x:v>13</x:v>
      </x:c>
      <x:c r="B69" s="72" t="n">
        <x:v>4</x:v>
      </x:c>
      <x:c r="C69" s="72" t="n">
        <x:v>30</x:v>
      </x:c>
      <x:c r="D69" s="95" t="n">
        <x:f>C69/'Волны'!B18</x:f>
        <x:v>0.2</x:v>
      </x:c>
      <x:c r="E69" s="97" t="n">
        <x:v>36.240002</x:v>
      </x:c>
      <x:c r="F69" s="97" t="n">
        <x:v>45.743999</x:v>
      </x:c>
      <x:c r="G69" s="98" t="n">
        <x:f>(A69-1)*$B$108/86400</x:f>
        <x:v>0.0125</x:v>
      </x:c>
      <x:c r="H69" s="72" t="n">
        <x:v>91</x:v>
      </x:c>
      <x:c r="I69" s="72" t="n">
        <x:v>120</x:v>
      </x:c>
      <x:c r="J69" s="72"/>
    </x:row>
    <x:row r="70" ht="30" customHeight="1">
      <x:c r="A70" s="70" t="n">
        <x:v>13</x:v>
      </x:c>
      <x:c r="B70" s="70" t="n">
        <x:v>5</x:v>
      </x:c>
      <x:c r="C70" s="70" t="n">
        <x:v>30</x:v>
      </x:c>
      <x:c r="D70" s="95" t="n">
        <x:f>C70/'Волны'!B18</x:f>
        <x:v>0.2</x:v>
      </x:c>
      <x:c r="E70" s="96" t="n">
        <x:v>48.119999</x:v>
      </x:c>
      <x:c r="F70" s="96" t="n">
        <x:v>57.624001</x:v>
      </x:c>
      <x:c r="G70" s="98" t="n">
        <x:f>(A70-1)*$B$108/86400</x:f>
        <x:v>0.0125</x:v>
      </x:c>
      <x:c r="H70" s="70" t="n">
        <x:v>121</x:v>
      </x:c>
      <x:c r="I70" s="70" t="n">
        <x:v>150</x:v>
      </x:c>
      <x:c r="J70" s="70"/>
    </x:row>
    <x:row r="71" ht="30" customHeight="1">
      <x:c r="A71" s="72" t="n">
        <x:v>14</x:v>
      </x:c>
      <x:c r="B71" s="72" t="n">
        <x:v>1</x:v>
      </x:c>
      <x:c r="C71" s="72" t="n">
        <x:v>28</x:v>
      </x:c>
      <x:c r="D71" s="95" t="n">
        <x:f>C71/'Волны'!B19</x:f>
        <x:v>0.16279069767441862</x:v>
      </x:c>
      <x:c r="E71" s="97" t="n">
        <x:v>0.6</x:v>
      </x:c>
      <x:c r="F71" s="97" t="n">
        <x:v>8.52</x:v>
      </x:c>
      <x:c r="G71" s="98" t="n">
        <x:f>(A71-1)*$B$108/86400</x:f>
        <x:v>0.013541666666666667</x:v>
      </x:c>
      <x:c r="H71" s="72" t="n">
        <x:v>1</x:v>
      </x:c>
      <x:c r="I71" s="72" t="n">
        <x:v>28</x:v>
      </x:c>
      <x:c r="J71" s="72"/>
    </x:row>
    <x:row r="72" ht="30" customHeight="1">
      <x:c r="A72" s="70" t="n">
        <x:v>14</x:v>
      </x:c>
      <x:c r="B72" s="70" t="n">
        <x:v>2</x:v>
      </x:c>
      <x:c r="C72" s="70" t="n">
        <x:v>29</x:v>
      </x:c>
      <x:c r="D72" s="95" t="n">
        <x:f>C72/'Волны'!B19</x:f>
        <x:v>0.1686046511627907</x:v>
      </x:c>
      <x:c r="E72" s="96" t="n">
        <x:v>10.5</x:v>
      </x:c>
      <x:c r="F72" s="96" t="n">
        <x:v>18.42</x:v>
      </x:c>
      <x:c r="G72" s="98" t="n">
        <x:f>(A72-1)*$B$108/86400</x:f>
        <x:v>0.013541666666666667</x:v>
      </x:c>
      <x:c r="H72" s="70" t="n">
        <x:v>29</x:v>
      </x:c>
      <x:c r="I72" s="70" t="n">
        <x:v>57</x:v>
      </x:c>
      <x:c r="J72" s="70"/>
    </x:row>
    <x:row r="73" ht="30" customHeight="1">
      <x:c r="A73" s="72" t="n">
        <x:v>14</x:v>
      </x:c>
      <x:c r="B73" s="72" t="n">
        <x:v>3</x:v>
      </x:c>
      <x:c r="C73" s="72" t="n">
        <x:v>29</x:v>
      </x:c>
      <x:c r="D73" s="95" t="n">
        <x:f>C73/'Волны'!B19</x:f>
        <x:v>0.1686046511627907</x:v>
      </x:c>
      <x:c r="E73" s="97" t="n">
        <x:v>20.4</x:v>
      </x:c>
      <x:c r="F73" s="97" t="n">
        <x:v>28.32</x:v>
      </x:c>
      <x:c r="G73" s="98" t="n">
        <x:f>(A73-1)*$B$108/86400</x:f>
        <x:v>0.013541666666666667</x:v>
      </x:c>
      <x:c r="H73" s="72" t="n">
        <x:v>58</x:v>
      </x:c>
      <x:c r="I73" s="72" t="n">
        <x:v>86</x:v>
      </x:c>
      <x:c r="J73" s="72"/>
    </x:row>
    <x:row r="74" ht="30" customHeight="1">
      <x:c r="A74" s="70" t="n">
        <x:v>14</x:v>
      </x:c>
      <x:c r="B74" s="70" t="n">
        <x:v>4</x:v>
      </x:c>
      <x:c r="C74" s="70" t="n">
        <x:v>28</x:v>
      </x:c>
      <x:c r="D74" s="95" t="n">
        <x:f>C74/'Волны'!B19</x:f>
        <x:v>0.16279069767441862</x:v>
      </x:c>
      <x:c r="E74" s="96" t="n">
        <x:v>30.299999</x:v>
      </x:c>
      <x:c r="F74" s="96" t="n">
        <x:v>38.219997</x:v>
      </x:c>
      <x:c r="G74" s="98" t="n">
        <x:f>(A74-1)*$B$108/86400</x:f>
        <x:v>0.013541666666666667</x:v>
      </x:c>
      <x:c r="H74" s="70" t="n">
        <x:v>87</x:v>
      </x:c>
      <x:c r="I74" s="70" t="n">
        <x:v>114</x:v>
      </x:c>
      <x:c r="J74" s="70"/>
    </x:row>
    <x:row r="75" ht="30" customHeight="1">
      <x:c r="A75" s="72" t="n">
        <x:v>14</x:v>
      </x:c>
      <x:c r="B75" s="72" t="n">
        <x:v>5</x:v>
      </x:c>
      <x:c r="C75" s="72" t="n">
        <x:v>29</x:v>
      </x:c>
      <x:c r="D75" s="95" t="n">
        <x:f>C75/'Волны'!B19</x:f>
        <x:v>0.1686046511627907</x:v>
      </x:c>
      <x:c r="E75" s="97" t="n">
        <x:v>40.199997</x:v>
      </x:c>
      <x:c r="F75" s="97" t="n">
        <x:v>48.119999</x:v>
      </x:c>
      <x:c r="G75" s="98" t="n">
        <x:f>(A75-1)*$B$108/86400</x:f>
        <x:v>0.013541666666666667</x:v>
      </x:c>
      <x:c r="H75" s="72" t="n">
        <x:v>115</x:v>
      </x:c>
      <x:c r="I75" s="72" t="n">
        <x:v>143</x:v>
      </x:c>
      <x:c r="J75" s="72"/>
    </x:row>
    <x:row r="76" ht="30" customHeight="1">
      <x:c r="A76" s="70" t="n">
        <x:v>14</x:v>
      </x:c>
      <x:c r="B76" s="70" t="n">
        <x:v>6</x:v>
      </x:c>
      <x:c r="C76" s="70" t="n">
        <x:v>29</x:v>
      </x:c>
      <x:c r="D76" s="95" t="n">
        <x:f>C76/'Волны'!B19</x:f>
        <x:v>0.1686046511627907</x:v>
      </x:c>
      <x:c r="E76" s="96" t="n">
        <x:v>50.099998</x:v>
      </x:c>
      <x:c r="F76" s="96" t="n">
        <x:v>58.019997</x:v>
      </x:c>
      <x:c r="G76" s="98" t="n">
        <x:f>(A76-1)*$B$108/86400</x:f>
        <x:v>0.013541666666666667</x:v>
      </x:c>
      <x:c r="H76" s="70" t="n">
        <x:v>144</x:v>
      </x:c>
      <x:c r="I76" s="70" t="n">
        <x:v>172</x:v>
      </x:c>
      <x:c r="J76" s="70"/>
    </x:row>
    <x:row r="77" ht="30" customHeight="1">
      <x:c r="A77" s="72" t="n">
        <x:v>15</x:v>
      </x:c>
      <x:c r="B77" s="72" t="n">
        <x:v>1</x:v>
      </x:c>
      <x:c r="C77" s="72" t="n">
        <x:v>75</x:v>
      </x:c>
      <x:c r="D77" s="95" t="n">
        <x:f>C77/'Волны'!B20</x:f>
        <x:v>0.2</x:v>
      </x:c>
      <x:c r="E77" s="97" t="n">
        <x:v>0.6</x:v>
      </x:c>
      <x:c r="F77" s="97" t="n">
        <x:v>10.104001</x:v>
      </x:c>
      <x:c r="G77" s="98" t="n">
        <x:f>(A77-1)*$B$108/86400</x:f>
        <x:v>0.014583333333333334</x:v>
      </x:c>
      <x:c r="H77" s="72" t="n">
        <x:v>1</x:v>
      </x:c>
      <x:c r="I77" s="72" t="n">
        <x:v>75</x:v>
      </x:c>
      <x:c r="J77" s="72"/>
    </x:row>
    <x:row r="78" ht="30" customHeight="1">
      <x:c r="A78" s="70" t="n">
        <x:v>15</x:v>
      </x:c>
      <x:c r="B78" s="70" t="n">
        <x:v>2</x:v>
      </x:c>
      <x:c r="C78" s="70" t="n">
        <x:v>75</x:v>
      </x:c>
      <x:c r="D78" s="95" t="n">
        <x:f>C78/'Волны'!B20</x:f>
        <x:v>0.2</x:v>
      </x:c>
      <x:c r="E78" s="96" t="n">
        <x:v>12.48</x:v>
      </x:c>
      <x:c r="F78" s="96" t="n">
        <x:v>21.984001</x:v>
      </x:c>
      <x:c r="G78" s="98" t="n">
        <x:f>(A78-1)*$B$108/86400</x:f>
        <x:v>0.014583333333333334</x:v>
      </x:c>
      <x:c r="H78" s="70" t="n">
        <x:v>76</x:v>
      </x:c>
      <x:c r="I78" s="70" t="n">
        <x:v>150</x:v>
      </x:c>
      <x:c r="J78" s="70"/>
    </x:row>
    <x:row r="79" ht="30" customHeight="1">
      <x:c r="A79" s="72" t="n">
        <x:v>15</x:v>
      </x:c>
      <x:c r="B79" s="72" t="n">
        <x:v>3</x:v>
      </x:c>
      <x:c r="C79" s="72" t="n">
        <x:v>75</x:v>
      </x:c>
      <x:c r="D79" s="95" t="n">
        <x:f>C79/'Волны'!B20</x:f>
        <x:v>0.2</x:v>
      </x:c>
      <x:c r="E79" s="97" t="n">
        <x:v>24.360001</x:v>
      </x:c>
      <x:c r="F79" s="97" t="n">
        <x:v>33.864002</x:v>
      </x:c>
      <x:c r="G79" s="98" t="n">
        <x:f>(A79-1)*$B$108/86400</x:f>
        <x:v>0.014583333333333334</x:v>
      </x:c>
      <x:c r="H79" s="72" t="n">
        <x:v>151</x:v>
      </x:c>
      <x:c r="I79" s="72" t="n">
        <x:v>225</x:v>
      </x:c>
      <x:c r="J79" s="72"/>
    </x:row>
    <x:row r="80" ht="30" customHeight="1">
      <x:c r="A80" s="70" t="n">
        <x:v>15</x:v>
      </x:c>
      <x:c r="B80" s="70" t="n">
        <x:v>4</x:v>
      </x:c>
      <x:c r="C80" s="70" t="n">
        <x:v>75</x:v>
      </x:c>
      <x:c r="D80" s="95" t="n">
        <x:f>C80/'Волны'!B20</x:f>
        <x:v>0.2</x:v>
      </x:c>
      <x:c r="E80" s="96" t="n">
        <x:v>36.240002</x:v>
      </x:c>
      <x:c r="F80" s="96" t="n">
        <x:v>45.743999</x:v>
      </x:c>
      <x:c r="G80" s="98" t="n">
        <x:f>(A80-1)*$B$108/86400</x:f>
        <x:v>0.014583333333333334</x:v>
      </x:c>
      <x:c r="H80" s="70" t="n">
        <x:v>226</x:v>
      </x:c>
      <x:c r="I80" s="70" t="n">
        <x:v>300</x:v>
      </x:c>
      <x:c r="J80" s="70"/>
    </x:row>
    <x:row r="81" ht="30" customHeight="1">
      <x:c r="A81" s="72" t="n">
        <x:v>15</x:v>
      </x:c>
      <x:c r="B81" s="72" t="n">
        <x:v>5</x:v>
      </x:c>
      <x:c r="C81" s="72" t="n">
        <x:v>75</x:v>
      </x:c>
      <x:c r="D81" s="95" t="n">
        <x:f>C81/'Волны'!B20</x:f>
        <x:v>0.2</x:v>
      </x:c>
      <x:c r="E81" s="97" t="n">
        <x:v>48.119999</x:v>
      </x:c>
      <x:c r="F81" s="97" t="n">
        <x:v>57.624001</x:v>
      </x:c>
      <x:c r="G81" s="98" t="n">
        <x:f>(A81-1)*$B$108/86400</x:f>
        <x:v>0.014583333333333334</x:v>
      </x:c>
      <x:c r="H81" s="72" t="n">
        <x:v>301</x:v>
      </x:c>
      <x:c r="I81" s="72" t="n">
        <x:v>375</x:v>
      </x:c>
      <x:c r="J81" s="72"/>
    </x:row>
    <x:row r="82" ht="30" customHeight="1">
      <x:c r="A82" s="70" t="n">
        <x:v>16</x:v>
      </x:c>
      <x:c r="B82" s="70" t="n">
        <x:v>1</x:v>
      </x:c>
      <x:c r="C82" s="70" t="n">
        <x:v>50</x:v>
      </x:c>
      <x:c r="D82" s="95" t="n">
        <x:f>C82/'Волны'!B21</x:f>
        <x:v>0.2</x:v>
      </x:c>
      <x:c r="E82" s="96" t="n">
        <x:v>0.6</x:v>
      </x:c>
      <x:c r="F82" s="96" t="n">
        <x:v>10.104001</x:v>
      </x:c>
      <x:c r="G82" s="98" t="n">
        <x:f>(A82-1)*$B$108/86400</x:f>
        <x:v>0.015625</x:v>
      </x:c>
      <x:c r="H82" s="70" t="n">
        <x:v>1</x:v>
      </x:c>
      <x:c r="I82" s="70" t="n">
        <x:v>50</x:v>
      </x:c>
      <x:c r="J82" s="70"/>
    </x:row>
    <x:row r="83" ht="30" customHeight="1">
      <x:c r="A83" s="72" t="n">
        <x:v>16</x:v>
      </x:c>
      <x:c r="B83" s="72" t="n">
        <x:v>2</x:v>
      </x:c>
      <x:c r="C83" s="72" t="n">
        <x:v>50</x:v>
      </x:c>
      <x:c r="D83" s="95" t="n">
        <x:f>C83/'Волны'!B21</x:f>
        <x:v>0.2</x:v>
      </x:c>
      <x:c r="E83" s="97" t="n">
        <x:v>12.48</x:v>
      </x:c>
      <x:c r="F83" s="97" t="n">
        <x:v>21.984001</x:v>
      </x:c>
      <x:c r="G83" s="98" t="n">
        <x:f>(A83-1)*$B$108/86400</x:f>
        <x:v>0.015625</x:v>
      </x:c>
      <x:c r="H83" s="72" t="n">
        <x:v>51</x:v>
      </x:c>
      <x:c r="I83" s="72" t="n">
        <x:v>100</x:v>
      </x:c>
      <x:c r="J83" s="72"/>
    </x:row>
    <x:row r="84" ht="30" customHeight="1">
      <x:c r="A84" s="70" t="n">
        <x:v>16</x:v>
      </x:c>
      <x:c r="B84" s="70" t="n">
        <x:v>3</x:v>
      </x:c>
      <x:c r="C84" s="70" t="n">
        <x:v>50</x:v>
      </x:c>
      <x:c r="D84" s="95" t="n">
        <x:f>C84/'Волны'!B21</x:f>
        <x:v>0.2</x:v>
      </x:c>
      <x:c r="E84" s="96" t="n">
        <x:v>24.360001</x:v>
      </x:c>
      <x:c r="F84" s="96" t="n">
        <x:v>33.864002</x:v>
      </x:c>
      <x:c r="G84" s="98" t="n">
        <x:f>(A84-1)*$B$108/86400</x:f>
        <x:v>0.015625</x:v>
      </x:c>
      <x:c r="H84" s="70" t="n">
        <x:v>101</x:v>
      </x:c>
      <x:c r="I84" s="70" t="n">
        <x:v>150</x:v>
      </x:c>
      <x:c r="J84" s="70"/>
    </x:row>
    <x:row r="85" ht="30" customHeight="1">
      <x:c r="A85" s="72" t="n">
        <x:v>16</x:v>
      </x:c>
      <x:c r="B85" s="72" t="n">
        <x:v>4</x:v>
      </x:c>
      <x:c r="C85" s="72" t="n">
        <x:v>50</x:v>
      </x:c>
      <x:c r="D85" s="95" t="n">
        <x:f>C85/'Волны'!B21</x:f>
        <x:v>0.2</x:v>
      </x:c>
      <x:c r="E85" s="97" t="n">
        <x:v>36.240002</x:v>
      </x:c>
      <x:c r="F85" s="97" t="n">
        <x:v>45.743999</x:v>
      </x:c>
      <x:c r="G85" s="98" t="n">
        <x:f>(A85-1)*$B$108/86400</x:f>
        <x:v>0.015625</x:v>
      </x:c>
      <x:c r="H85" s="72" t="n">
        <x:v>151</x:v>
      </x:c>
      <x:c r="I85" s="72" t="n">
        <x:v>200</x:v>
      </x:c>
      <x:c r="J85" s="72"/>
    </x:row>
    <x:row r="86" ht="30" customHeight="1">
      <x:c r="A86" s="70" t="n">
        <x:v>16</x:v>
      </x:c>
      <x:c r="B86" s="70" t="n">
        <x:v>5</x:v>
      </x:c>
      <x:c r="C86" s="70" t="n">
        <x:v>50</x:v>
      </x:c>
      <x:c r="D86" s="95" t="n">
        <x:f>C86/'Волны'!B21</x:f>
        <x:v>0.2</x:v>
      </x:c>
      <x:c r="E86" s="96" t="n">
        <x:v>48.119999</x:v>
      </x:c>
      <x:c r="F86" s="96" t="n">
        <x:v>57.624001</x:v>
      </x:c>
      <x:c r="G86" s="98" t="n">
        <x:f>(A86-1)*$B$108/86400</x:f>
        <x:v>0.015625</x:v>
      </x:c>
      <x:c r="H86" s="70" t="n">
        <x:v>201</x:v>
      </x:c>
      <x:c r="I86" s="70" t="n">
        <x:v>250</x:v>
      </x:c>
      <x:c r="J86" s="70"/>
    </x:row>
    <x:row r="87" ht="30" customHeight="1">
      <x:c r="A87" s="72" t="n">
        <x:v>17</x:v>
      </x:c>
      <x:c r="B87" s="72" t="n">
        <x:v>1</x:v>
      </x:c>
      <x:c r="C87" s="72" t="n">
        <x:v>65</x:v>
      </x:c>
      <x:c r="D87" s="95" t="n">
        <x:f>C87/'Волны'!B22</x:f>
        <x:v>0.2</x:v>
      </x:c>
      <x:c r="E87" s="97" t="n">
        <x:v>0.6</x:v>
      </x:c>
      <x:c r="F87" s="97" t="n">
        <x:v>10.104001</x:v>
      </x:c>
      <x:c r="G87" s="98" t="n">
        <x:f>(A87-1)*$B$108/86400</x:f>
        <x:v>0.016666666666666666</x:v>
      </x:c>
      <x:c r="H87" s="72" t="n">
        <x:v>1</x:v>
      </x:c>
      <x:c r="I87" s="72" t="n">
        <x:v>65</x:v>
      </x:c>
      <x:c r="J87" s="72"/>
    </x:row>
    <x:row r="88" ht="30" customHeight="1">
      <x:c r="A88" s="70" t="n">
        <x:v>17</x:v>
      </x:c>
      <x:c r="B88" s="70" t="n">
        <x:v>2</x:v>
      </x:c>
      <x:c r="C88" s="70" t="n">
        <x:v>65</x:v>
      </x:c>
      <x:c r="D88" s="95" t="n">
        <x:f>C88/'Волны'!B22</x:f>
        <x:v>0.2</x:v>
      </x:c>
      <x:c r="E88" s="96" t="n">
        <x:v>12.48</x:v>
      </x:c>
      <x:c r="F88" s="96" t="n">
        <x:v>21.984001</x:v>
      </x:c>
      <x:c r="G88" s="98" t="n">
        <x:f>(A88-1)*$B$108/86400</x:f>
        <x:v>0.016666666666666666</x:v>
      </x:c>
      <x:c r="H88" s="70" t="n">
        <x:v>66</x:v>
      </x:c>
      <x:c r="I88" s="70" t="n">
        <x:v>130</x:v>
      </x:c>
      <x:c r="J88" s="70"/>
    </x:row>
    <x:row r="89" ht="30" customHeight="1">
      <x:c r="A89" s="72" t="n">
        <x:v>17</x:v>
      </x:c>
      <x:c r="B89" s="72" t="n">
        <x:v>3</x:v>
      </x:c>
      <x:c r="C89" s="72" t="n">
        <x:v>65</x:v>
      </x:c>
      <x:c r="D89" s="95" t="n">
        <x:f>C89/'Волны'!B22</x:f>
        <x:v>0.2</x:v>
      </x:c>
      <x:c r="E89" s="97" t="n">
        <x:v>24.360001</x:v>
      </x:c>
      <x:c r="F89" s="97" t="n">
        <x:v>33.864002</x:v>
      </x:c>
      <x:c r="G89" s="98" t="n">
        <x:f>(A89-1)*$B$108/86400</x:f>
        <x:v>0.016666666666666666</x:v>
      </x:c>
      <x:c r="H89" s="72" t="n">
        <x:v>131</x:v>
      </x:c>
      <x:c r="I89" s="72" t="n">
        <x:v>195</x:v>
      </x:c>
      <x:c r="J89" s="72"/>
    </x:row>
    <x:row r="90" ht="30" customHeight="1">
      <x:c r="A90" s="70" t="n">
        <x:v>17</x:v>
      </x:c>
      <x:c r="B90" s="70" t="n">
        <x:v>4</x:v>
      </x:c>
      <x:c r="C90" s="70" t="n">
        <x:v>65</x:v>
      </x:c>
      <x:c r="D90" s="95" t="n">
        <x:f>C90/'Волны'!B22</x:f>
        <x:v>0.2</x:v>
      </x:c>
      <x:c r="E90" s="96" t="n">
        <x:v>36.240002</x:v>
      </x:c>
      <x:c r="F90" s="96" t="n">
        <x:v>45.743999</x:v>
      </x:c>
      <x:c r="G90" s="98" t="n">
        <x:f>(A90-1)*$B$108/86400</x:f>
        <x:v>0.016666666666666666</x:v>
      </x:c>
      <x:c r="H90" s="70" t="n">
        <x:v>196</x:v>
      </x:c>
      <x:c r="I90" s="70" t="n">
        <x:v>260</x:v>
      </x:c>
      <x:c r="J90" s="70"/>
    </x:row>
    <x:row r="91" ht="30" customHeight="1">
      <x:c r="A91" s="72" t="n">
        <x:v>17</x:v>
      </x:c>
      <x:c r="B91" s="72" t="n">
        <x:v>5</x:v>
      </x:c>
      <x:c r="C91" s="72" t="n">
        <x:v>65</x:v>
      </x:c>
      <x:c r="D91" s="95" t="n">
        <x:f>C91/'Волны'!B22</x:f>
        <x:v>0.2</x:v>
      </x:c>
      <x:c r="E91" s="97" t="n">
        <x:v>48.119999</x:v>
      </x:c>
      <x:c r="F91" s="97" t="n">
        <x:v>57.624001</x:v>
      </x:c>
      <x:c r="G91" s="98" t="n">
        <x:f>(A91-1)*$B$108/86400</x:f>
        <x:v>0.016666666666666666</x:v>
      </x:c>
      <x:c r="H91" s="72" t="n">
        <x:v>261</x:v>
      </x:c>
      <x:c r="I91" s="72" t="n">
        <x:v>325</x:v>
      </x:c>
      <x:c r="J91" s="72"/>
    </x:row>
    <x:row r="92" ht="30" customHeight="1">
      <x:c r="A92" s="70" t="n">
        <x:v>18</x:v>
      </x:c>
      <x:c r="B92" s="70" t="n">
        <x:v>1</x:v>
      </x:c>
      <x:c r="C92" s="70" t="n">
        <x:v>73</x:v>
      </x:c>
      <x:c r="D92" s="95" t="n">
        <x:f>C92/'Волны'!B23</x:f>
        <x:v>0.2</x:v>
      </x:c>
      <x:c r="E92" s="96" t="n">
        <x:v>0.6</x:v>
      </x:c>
      <x:c r="F92" s="96" t="n">
        <x:v>10.104001</x:v>
      </x:c>
      <x:c r="G92" s="98" t="n">
        <x:f>(A92-1)*$B$108/86400</x:f>
        <x:v>0.017708333333333333</x:v>
      </x:c>
      <x:c r="H92" s="70" t="n">
        <x:v>1</x:v>
      </x:c>
      <x:c r="I92" s="70" t="n">
        <x:v>73</x:v>
      </x:c>
      <x:c r="J92" s="70"/>
    </x:row>
    <x:row r="93" ht="30" customHeight="1">
      <x:c r="A93" s="72" t="n">
        <x:v>18</x:v>
      </x:c>
      <x:c r="B93" s="72" t="n">
        <x:v>2</x:v>
      </x:c>
      <x:c r="C93" s="72" t="n">
        <x:v>73</x:v>
      </x:c>
      <x:c r="D93" s="95" t="n">
        <x:f>C93/'Волны'!B23</x:f>
        <x:v>0.2</x:v>
      </x:c>
      <x:c r="E93" s="97" t="n">
        <x:v>12.48</x:v>
      </x:c>
      <x:c r="F93" s="97" t="n">
        <x:v>21.984001</x:v>
      </x:c>
      <x:c r="G93" s="98" t="n">
        <x:f>(A93-1)*$B$108/86400</x:f>
        <x:v>0.017708333333333333</x:v>
      </x:c>
      <x:c r="H93" s="72" t="n">
        <x:v>74</x:v>
      </x:c>
      <x:c r="I93" s="72" t="n">
        <x:v>146</x:v>
      </x:c>
      <x:c r="J93" s="72"/>
    </x:row>
    <x:row r="94" ht="30" customHeight="1">
      <x:c r="A94" s="70" t="n">
        <x:v>18</x:v>
      </x:c>
      <x:c r="B94" s="70" t="n">
        <x:v>3</x:v>
      </x:c>
      <x:c r="C94" s="70" t="n">
        <x:v>73</x:v>
      </x:c>
      <x:c r="D94" s="95" t="n">
        <x:f>C94/'Волны'!B23</x:f>
        <x:v>0.2</x:v>
      </x:c>
      <x:c r="E94" s="96" t="n">
        <x:v>24.360001</x:v>
      </x:c>
      <x:c r="F94" s="96" t="n">
        <x:v>33.864002</x:v>
      </x:c>
      <x:c r="G94" s="98" t="n">
        <x:f>(A94-1)*$B$108/86400</x:f>
        <x:v>0.017708333333333333</x:v>
      </x:c>
      <x:c r="H94" s="70" t="n">
        <x:v>147</x:v>
      </x:c>
      <x:c r="I94" s="70" t="n">
        <x:v>219</x:v>
      </x:c>
      <x:c r="J94" s="70"/>
    </x:row>
    <x:row r="95" ht="30" customHeight="1">
      <x:c r="A95" s="72" t="n">
        <x:v>18</x:v>
      </x:c>
      <x:c r="B95" s="72" t="n">
        <x:v>4</x:v>
      </x:c>
      <x:c r="C95" s="72" t="n">
        <x:v>73</x:v>
      </x:c>
      <x:c r="D95" s="95" t="n">
        <x:f>C95/'Волны'!B23</x:f>
        <x:v>0.2</x:v>
      </x:c>
      <x:c r="E95" s="97" t="n">
        <x:v>36.240002</x:v>
      </x:c>
      <x:c r="F95" s="97" t="n">
        <x:v>45.743999</x:v>
      </x:c>
      <x:c r="G95" s="98" t="n">
        <x:f>(A95-1)*$B$108/86400</x:f>
        <x:v>0.017708333333333333</x:v>
      </x:c>
      <x:c r="H95" s="72" t="n">
        <x:v>220</x:v>
      </x:c>
      <x:c r="I95" s="72" t="n">
        <x:v>292</x:v>
      </x:c>
      <x:c r="J95" s="72"/>
    </x:row>
    <x:row r="96" ht="30" customHeight="1">
      <x:c r="A96" s="70" t="n">
        <x:v>18</x:v>
      </x:c>
      <x:c r="B96" s="70" t="n">
        <x:v>5</x:v>
      </x:c>
      <x:c r="C96" s="70" t="n">
        <x:v>73</x:v>
      </x:c>
      <x:c r="D96" s="95" t="n">
        <x:f>C96/'Волны'!B23</x:f>
        <x:v>0.2</x:v>
      </x:c>
      <x:c r="E96" s="96" t="n">
        <x:v>48.119999</x:v>
      </x:c>
      <x:c r="F96" s="96" t="n">
        <x:v>57.624001</x:v>
      </x:c>
      <x:c r="G96" s="98" t="n">
        <x:f>(A96-1)*$B$108/86400</x:f>
        <x:v>0.017708333333333333</x:v>
      </x:c>
      <x:c r="H96" s="70" t="n">
        <x:v>293</x:v>
      </x:c>
      <x:c r="I96" s="70" t="n">
        <x:v>365</x:v>
      </x:c>
      <x:c r="J96" s="70"/>
    </x:row>
    <x:row r="97" ht="30" customHeight="1">
      <x:c r="A97" s="72" t="n">
        <x:v>19</x:v>
      </x:c>
      <x:c r="B97" s="72" t="n">
        <x:v>1</x:v>
      </x:c>
      <x:c r="C97" s="72" t="n">
        <x:v>93</x:v>
      </x:c>
      <x:c r="D97" s="95" t="n">
        <x:f>C97/'Волны'!B24</x:f>
        <x:v>0.2</x:v>
      </x:c>
      <x:c r="E97" s="97" t="n">
        <x:v>0.6</x:v>
      </x:c>
      <x:c r="F97" s="97" t="n">
        <x:v>10.104001</x:v>
      </x:c>
      <x:c r="G97" s="98" t="n">
        <x:f>(A97-1)*$B$108/86400</x:f>
        <x:v>0.01875</x:v>
      </x:c>
      <x:c r="H97" s="72" t="n">
        <x:v>1</x:v>
      </x:c>
      <x:c r="I97" s="72" t="n">
        <x:v>93</x:v>
      </x:c>
      <x:c r="J97" s="72"/>
    </x:row>
    <x:row r="98" ht="30" customHeight="1">
      <x:c r="A98" s="70" t="n">
        <x:v>19</x:v>
      </x:c>
      <x:c r="B98" s="70" t="n">
        <x:v>2</x:v>
      </x:c>
      <x:c r="C98" s="70" t="n">
        <x:v>93</x:v>
      </x:c>
      <x:c r="D98" s="95" t="n">
        <x:f>C98/'Волны'!B24</x:f>
        <x:v>0.2</x:v>
      </x:c>
      <x:c r="E98" s="96" t="n">
        <x:v>12.48</x:v>
      </x:c>
      <x:c r="F98" s="96" t="n">
        <x:v>21.984001</x:v>
      </x:c>
      <x:c r="G98" s="98" t="n">
        <x:f>(A98-1)*$B$108/86400</x:f>
        <x:v>0.01875</x:v>
      </x:c>
      <x:c r="H98" s="70" t="n">
        <x:v>94</x:v>
      </x:c>
      <x:c r="I98" s="70" t="n">
        <x:v>186</x:v>
      </x:c>
      <x:c r="J98" s="70"/>
    </x:row>
    <x:row r="99" ht="30" customHeight="1">
      <x:c r="A99" s="72" t="n">
        <x:v>19</x:v>
      </x:c>
      <x:c r="B99" s="72" t="n">
        <x:v>3</x:v>
      </x:c>
      <x:c r="C99" s="72" t="n">
        <x:v>93</x:v>
      </x:c>
      <x:c r="D99" s="95" t="n">
        <x:f>C99/'Волны'!B24</x:f>
        <x:v>0.2</x:v>
      </x:c>
      <x:c r="E99" s="97" t="n">
        <x:v>24.360001</x:v>
      </x:c>
      <x:c r="F99" s="97" t="n">
        <x:v>33.864002</x:v>
      </x:c>
      <x:c r="G99" s="98" t="n">
        <x:f>(A99-1)*$B$108/86400</x:f>
        <x:v>0.01875</x:v>
      </x:c>
      <x:c r="H99" s="72" t="n">
        <x:v>187</x:v>
      </x:c>
      <x:c r="I99" s="72" t="n">
        <x:v>279</x:v>
      </x:c>
      <x:c r="J99" s="72"/>
    </x:row>
    <x:row r="100" ht="30" customHeight="1">
      <x:c r="A100" s="70" t="n">
        <x:v>19</x:v>
      </x:c>
      <x:c r="B100" s="70" t="n">
        <x:v>4</x:v>
      </x:c>
      <x:c r="C100" s="70" t="n">
        <x:v>93</x:v>
      </x:c>
      <x:c r="D100" s="95" t="n">
        <x:f>C100/'Волны'!B24</x:f>
        <x:v>0.2</x:v>
      </x:c>
      <x:c r="E100" s="96" t="n">
        <x:v>36.240002</x:v>
      </x:c>
      <x:c r="F100" s="96" t="n">
        <x:v>45.743999</x:v>
      </x:c>
      <x:c r="G100" s="98" t="n">
        <x:f>(A100-1)*$B$108/86400</x:f>
        <x:v>0.01875</x:v>
      </x:c>
      <x:c r="H100" s="70" t="n">
        <x:v>280</x:v>
      </x:c>
      <x:c r="I100" s="70" t="n">
        <x:v>372</x:v>
      </x:c>
      <x:c r="J100" s="70"/>
    </x:row>
    <x:row r="101" ht="30" customHeight="1">
      <x:c r="A101" s="72" t="n">
        <x:v>19</x:v>
      </x:c>
      <x:c r="B101" s="72" t="n">
        <x:v>5</x:v>
      </x:c>
      <x:c r="C101" s="72" t="n">
        <x:v>93</x:v>
      </x:c>
      <x:c r="D101" s="95" t="n">
        <x:f>C101/'Волны'!B24</x:f>
        <x:v>0.2</x:v>
      </x:c>
      <x:c r="E101" s="97" t="n">
        <x:v>48.119999</x:v>
      </x:c>
      <x:c r="F101" s="97" t="n">
        <x:v>57.624001</x:v>
      </x:c>
      <x:c r="G101" s="98" t="n">
        <x:f>(A101-1)*$B$108/86400</x:f>
        <x:v>0.01875</x:v>
      </x:c>
      <x:c r="H101" s="72" t="n">
        <x:v>373</x:v>
      </x:c>
      <x:c r="I101" s="72" t="n">
        <x:v>465</x:v>
      </x:c>
      <x:c r="J101" s="72"/>
    </x:row>
    <x:row r="102" ht="30" customHeight="1">
      <x:c r="A102" s="70" t="n">
        <x:v>20</x:v>
      </x:c>
      <x:c r="B102" s="70" t="n">
        <x:v>1</x:v>
      </x:c>
      <x:c r="C102" s="70" t="n">
        <x:v>1</x:v>
      </x:c>
      <x:c r="D102" s="95" t="n">
        <x:f>C102/'Волны'!B25</x:f>
        <x:v>1</x:v>
      </x:c>
      <x:c r="E102" s="96" t="n">
        <x:v>0.6</x:v>
      </x:c>
      <x:c r="F102" s="96" t="n">
        <x:v>0.6</x:v>
      </x:c>
      <x:c r="G102" s="98" t="n">
        <x:f>(A102-1)*$B$108/86400</x:f>
        <x:v>0.019791666666666666</x:v>
      </x:c>
      <x:c r="H102" s="70" t="n">
        <x:v>1</x:v>
      </x:c>
      <x:c r="I102" s="70" t="n">
        <x:v>1</x:v>
      </x:c>
      <x:c r="J102" s="70" t="str">
        <x:v>Босс</x:v>
      </x:c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 ht="30" customHeight="1">
      <x:c r="A106" s="85" t="str">
        <x:v>Параметры игрового времени</x:v>
      </x:c>
      <x:c r="B106" s="85"/>
      <x:c r="C106" s="85"/>
      <x:c r="D106" s="85"/>
      <x:c r="E106" s="85"/>
      <x:c r="F106" s="85"/>
      <x:c r="G106" s="85"/>
      <x:c r="H106" s="85"/>
      <x:c r="I106" s="85"/>
      <x:c r="J106" s="85"/>
    </x:row>
    <x:row r="107" ht="42" customHeight="1">
      <x:c r="A107" s="66" t="str">
        <x:v>Параметр</x:v>
      </x:c>
      <x:c r="B107" s="67" t="str">
        <x:v>Значение</x:v>
      </x:c>
      <x:c r="C107" s="68" t="str">
        <x:v>Единица</x:v>
      </x:c>
      <x:c r="D107" s="2"/>
      <x:c r="E107" s="2"/>
      <x:c r="F107" s="2"/>
      <x:c r="G107" s="2"/>
      <x:c r="H107" s="2"/>
      <x:c r="I107" s="2"/>
      <x:c r="J107" s="2"/>
    </x:row>
    <x:row r="108" ht="42" customHeight="1">
      <x:c r="A108" s="75" t="str">
        <x:v>Слот волны</x:v>
      </x:c>
      <x:c r="B108" s="73" t="n">
        <x:v>90</x:v>
      </x:c>
      <x:c r="C108" s="70" t="str">
        <x:v>с</x:v>
      </x:c>
      <x:c r="D108" s="2"/>
      <x:c r="E108" s="2"/>
      <x:c r="F108" s="2"/>
      <x:c r="G108" s="2"/>
      <x:c r="H108" s="2"/>
      <x:c r="I108" s="2"/>
      <x:c r="J108" s="2"/>
    </x:row>
    <x:row r="109" ht="42" customHeight="1">
      <x:c r="A109" s="78" t="str">
        <x:v>Окно выхода</x:v>
      </x:c>
      <x:c r="B109" s="73" t="n">
        <x:v>60</x:v>
      </x:c>
      <x:c r="C109" s="72" t="str">
        <x:v>с</x:v>
      </x:c>
      <x:c r="D109" s="2"/>
      <x:c r="E109" s="2"/>
      <x:c r="F109" s="2"/>
      <x:c r="G109" s="2"/>
      <x:c r="H109" s="2"/>
      <x:c r="I109" s="2"/>
      <x:c r="J109" s="2"/>
    </x:row>
    <x:row r="110" ht="42" customHeight="1">
      <x:c r="A110" s="75" t="str">
        <x:v>Ориентир времени</x:v>
      </x:c>
      <x:c r="B110" s="73" t="n">
        <x:v>30</x:v>
      </x:c>
      <x:c r="C110" s="70" t="str">
        <x:v>мин</x:v>
      </x:c>
      <x:c r="D110" s="2"/>
      <x:c r="E110" s="2"/>
      <x:c r="F110" s="2"/>
      <x:c r="G110" s="2"/>
      <x:c r="H110" s="2"/>
      <x:c r="I110" s="2"/>
      <x:c r="J110" s="2"/>
    </x:row>
    <x:row r="111" ht="42" customHeight="1">
      <x:c r="A111" s="78" t="str">
        <x:v>Начальная задержка</x:v>
      </x:c>
      <x:c r="B111" s="73" t="n">
        <x:v>0.6</x:v>
      </x:c>
      <x:c r="C111" s="72" t="str">
        <x:v>с</x:v>
      </x:c>
      <x:c r="D111" s="2"/>
      <x:c r="E111" s="2"/>
      <x:c r="F111" s="2"/>
      <x:c r="G111" s="2"/>
      <x:c r="H111" s="2"/>
      <x:c r="I111" s="2"/>
      <x:c r="J111" s="2"/>
    </x:row>
    <x:row r="112" ht="42" customHeight="1">
      <x:c r="A112" s="75" t="str">
        <x:v>Гонг босса</x:v>
      </x:c>
      <x:c r="B112" s="73" t="n">
        <x:v>5</x:v>
      </x:c>
      <x:c r="C112" s="70" t="str">
        <x:v>с</x:v>
      </x:c>
      <x:c r="D112" s="2"/>
      <x:c r="E112" s="2"/>
      <x:c r="F112" s="2"/>
      <x:c r="G112" s="2"/>
      <x:c r="H112" s="2"/>
      <x:c r="I112" s="2"/>
      <x:c r="J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30" customHeight="1">
      <x:c r="A114" s="121" t="str">
        <x:v>Досрочный вызов</x:v>
      </x:c>
      <x:c r="B114" s="121"/>
      <x:c r="C114" s="121"/>
      <x:c r="D114" s="121"/>
      <x:c r="E114" s="121"/>
      <x:c r="F114" s="121"/>
      <x:c r="G114" s="121"/>
      <x:c r="H114" s="121"/>
      <x:c r="I114" s="121"/>
      <x:c r="J114" s="121"/>
    </x:row>
    <x:row r="115" ht="42" customHeight="1">
      <x:c r="A115" s="112" t="str">
        <x:v>Параметр</x:v>
      </x:c>
      <x:c r="B115" s="112" t="str">
        <x:v>Значение</x:v>
      </x:c>
      <x:c r="C115" s="112" t="str">
        <x:v>Единица</x:v>
      </x:c>
      <x:c r="D115" s="2"/>
      <x:c r="E115" s="2"/>
      <x:c r="F115" s="2"/>
      <x:c r="G115" s="2"/>
      <x:c r="H115" s="2"/>
      <x:c r="I115" s="2"/>
      <x:c r="J115" s="2"/>
    </x:row>
    <x:row r="116" ht="42" customHeight="1">
      <x:c r="A116" s="115" t="str">
        <x:v>Порог выхода</x:v>
      </x:c>
      <x:c r="B116" s="149" t="n">
        <x:v>0.6</x:v>
      </x:c>
      <x:c r="C116" s="115" t="str">
        <x:v>плановых</x:v>
      </x:c>
      <x:c r="D116" s="2"/>
      <x:c r="E116" s="2"/>
      <x:c r="F116" s="2"/>
      <x:c r="G116" s="2"/>
      <x:c r="H116" s="2"/>
      <x:c r="I116" s="2"/>
      <x:c r="J116" s="2"/>
    </x:row>
    <x:row r="117" ht="42" customHeight="1">
      <x:c r="A117" s="115" t="str">
        <x:v>Макс. бонус</x:v>
      </x:c>
      <x:c r="B117" s="150" t="n">
        <x:v>30</x:v>
      </x:c>
      <x:c r="C117" s="115" t="str">
        <x:v>золото</x:v>
      </x:c>
      <x:c r="D117" s="2"/>
      <x:c r="E117" s="2"/>
      <x:c r="F117" s="2"/>
      <x:c r="G117" s="2"/>
      <x:c r="H117" s="2"/>
      <x:c r="I117" s="2"/>
      <x:c r="J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4" customHeight="1">
      <x:c r="A120" s="32" t="str">
        <x:v>Без раннего вызова новая волна ждёт зачистки предыдущей и окончания её 90-секундного слота.</x:v>
      </x:c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4" customHeight="1">
      <x:c r="A121" s="125" t="str">
        <x:v>Вызов доступен после выхода 60% исходных врагов последней вызванной волны. Убийства для этого не требуются.</x:v>
      </x:c>
    </x:row>
    <x:row r="122" ht="24" customHeight="1">
      <x:c r="A122" s="125" t="str">
        <x:v>Призванные мини-мумии и копии не входят в порог. Вызванные волны могут перекрываться.</x:v>
      </x:c>
    </x:row>
    <x:row r="123" ht="24" customHeight="1">
      <x:c r="A123" s="125" t="str">
        <x:v>Бонус уменьшается от 30 до 0 по времени: от доступности кнопки до 90 с от старта волны. Начисляется один раз.</x:v>
      </x:c>
    </x:row>
    <x:row r="124" ht="24" customHeight="1">
      <x:c r="A124" s="125" t="str">
        <x:v>30 минут — прежний ориентир. Вызовы могут ускорить карту, а длительная зачистка и бой с боссом — продлить.</x:v>
      </x:c>
    </x:row>
    <x:row r="125" ht="24" customHeight="1">
      <x:c r="A125" s="125" t="str">
        <x:v>После гибели последнего босса и зачистки оставшихся врагов победа наступает сразу. Ожидания 30 минут нет.</x:v>
      </x:c>
    </x:row>
    <x:row r="126" ht="24" customHeight="1">
      <x:c r="A126" s="125" t="str">
        <x:v>G — план без ранних вызовов и задержек. После 90 с вызов остаётся доступным, но даёт 0 золота.</x:v>
      </x:c>
    </x:row>
    <x:row r="127" ht="24" customHeight="1">
      <x:c r="A127" s="125" t="str">
        <x:v>Основной счётчик: оставшиеся исходные враги, включая ещё не вышедших. Призванные враги показаны отдельно.</x:v>
      </x:c>
    </x:row>
    <x:row r="128" ht="24" customHeight="1">
      <x:c r="A128" s="125" t="str">
        <x:v>Расчёт ниже — пример по волне 1. В игре бонус зависит от фактического момента доступности кнопки и нажатия.</x:v>
      </x:c>
    </x:row>
    <x:row r="129" ht="24" customHeight="1">
      <x:c r="A129" s="125" t="str">
        <x:v>Округление — до ближайшего целого. Ровно половина округляется к чётному числу, как RoundToInt в игре.</x:v>
      </x:c>
    </x:row>
    <x:row r="131" ht="42" customHeight="1">
      <x:c r="F131" s="139" t="str">
        <x:v>Пример: волна 1</x:v>
      </x:c>
      <x:c r="G131" s="139" t="str">
        <x:v>Значение</x:v>
      </x:c>
      <x:c r="H131" s="139" t="str">
        <x:v>Единица</x:v>
      </x:c>
    </x:row>
    <x:row r="132" ht="34" customHeight="1">
      <x:c r="F132" s="115" t="str">
        <x:v>Доступно с</x:v>
      </x:c>
      <x:c r="G132" s="157" t="n">
        <x:v>33.864002</x:v>
      </x:c>
      <x:c r="H132" s="115" t="str">
        <x:v>с</x:v>
      </x:c>
    </x:row>
    <x:row r="133" ht="34" customHeight="1">
      <x:c r="F133" s="115" t="str">
        <x:v>Нажатие на</x:v>
      </x:c>
      <x:c r="G133" s="157" t="n">
        <x:v>60</x:v>
      </x:c>
      <x:c r="H133" s="115" t="str">
        <x:v>с</x:v>
      </x:c>
    </x:row>
    <x:row r="134" ht="34" customHeight="1">
      <x:c r="F134" s="115" t="str">
        <x:v>До округления</x:v>
      </x:c>
      <x:c r="G134" s="159" t="n">
        <x:f>IF(G132&gt;=$B$108,0,MAX(0,MIN($B$117,$B$117*($B$108-G133)/($B$108-G132))))</x:f>
        <x:v>16.032493089371993</x:v>
      </x:c>
      <x:c r="H134" s="115" t="str">
        <x:v>золото</x:v>
      </x:c>
    </x:row>
    <x:row r="135" ht="34" customHeight="1">
      <x:c r="F135" s="115" t="str">
        <x:v>Бонус вызова</x:v>
      </x:c>
      <x:c r="G135" s="160" t="n">
        <x:f>IF(G133&lt;G132,"Недоступно",IF(AND(MOD(G134,1)=0.5,MOD(INT(G134),2)=0),ROUNDDOWN(G134,0),ROUND(G134,0)))</x:f>
        <x:v>16</x:v>
      </x:c>
      <x:c r="H135" s="115" t="str">
        <x:v>золото</x:v>
      </x:c>
    </x:row>
    <x:row r="137" ht="24" customHeight="1">
      <x:c r="A137" s="125" t="str">
        <x:v>Изменяй золотые ячейки примера. Момент доступности взят из планового экспорта волны 1, момент нажатия — пример.</x:v>
      </x:c>
    </x:row>
  </x:sheetData>
  <x:pageMargins left="0.7" right="0.7" top="0.75" bottom="0.75" header="0.3" footer="0.3"/>
  <x:tableParts count="1">
    <x:tablePart xmlns:r="http://schemas.openxmlformats.org/officeDocument/2006/relationships" r:id="R513126c11c2546b5"/>
  </x:tableParts>
</x:worksheet>
</file>

<file path=xl/worksheets/sheet6.xml><?xml version="1.0" encoding="utf-8"?>
<x:worksheet xmlns:x="http://schemas.openxmlformats.org/spreadsheetml/2006/main">
  <x:sheetPr>
    <x:tabColor rgb="FF214F4A"/>
  </x:sheetPr>
  <x:sheetViews>
    <x:sheetView showGridLines="0" workbookViewId="0"/>
  </x:sheetViews>
  <x:sheetFormatPr defaultRowHeight="15"/>
  <x:cols>
    <x:col min="1" max="1" width="25.6299991607666" hidden="0" customWidth="1"/>
    <x:col min="2" max="2" width="11.25" hidden="0" customWidth="1"/>
    <x:col min="3" max="3" width="12.5" hidden="0" customWidth="1"/>
    <x:col min="4" max="4" width="13.75" hidden="0" customWidth="1"/>
    <x:col min="5" max="5" width="13.75" hidden="0" customWidth="1"/>
    <x:col min="6" max="6" width="14.380000114440918" hidden="0" customWidth="1"/>
    <x:col min="7" max="7" width="15.630000114440918" hidden="0" customWidth="1"/>
    <x:col min="8" max="8" width="14.380000114440918" hidden="0" customWidth="1"/>
    <x:col min="9" max="9" width="15" hidden="0" customWidth="1"/>
    <x:col min="10" max="10" width="19.3799991607666" hidden="0" customWidth="1"/>
  </x:cols>
  <x:sheetData>
    <x:row r="1" ht="36" customHeight="1">
      <x:c r="A1" s="3" t="str">
        <x:v>Башни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5" t="str">
        <x:v>Версия 0.8.1: III уровень — два эльфа. В C указан урон каждой стрелы; E учитывает обоих. Интервалы прежние.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8" customHeight="1">
      <x:c r="A5" s="14" t="str">
        <x:v>Башня</x:v>
      </x:c>
      <x:c r="B5" s="15" t="str">
        <x:v>Уровень</x:v>
      </x:c>
      <x:c r="C5" s="15" t="str">
        <x:v>Урон снаряда</x:v>
      </x:c>
      <x:c r="D5" s="15" t="str">
        <x:v>Интервал, с</x:v>
      </x:c>
      <x:c r="E5" s="15" t="str">
        <x:v>DPS башни</x:v>
      </x:c>
      <x:c r="F5" s="15" t="str">
        <x:v>Радиус</x:v>
      </x:c>
      <x:c r="G5" s="15" t="str">
        <x:v>След. апгрейд</x:v>
      </x:c>
      <x:c r="H5" s="15" t="str">
        <x:v>Всего вложено</x:v>
      </x:c>
      <x:c r="I5" s="15" t="str">
        <x:v>Продажа</x:v>
      </x:c>
      <x:c r="J5" s="16" t="str">
        <x:v>Эффект</x:v>
      </x:c>
    </x:row>
    <x:row r="6" ht="39" customHeight="1">
      <x:c r="A6" s="18" t="str">
        <x:v>Стрелковая башня</x:v>
      </x:c>
      <x:c r="B6" s="18" t="n">
        <x:v>1</x:v>
      </x:c>
      <x:c r="C6" s="167" t="n">
        <x:f>$C$20*(1+(B6-1)*$D$20)</x:f>
        <x:v>4.085552625</x:v>
      </x:c>
      <x:c r="D6" s="24" t="n">
        <x:f>$G$20/(1+(B6-1)*$H$20)</x:f>
        <x:v>0.62</x:v>
      </x:c>
      <x:c r="E6" s="24" t="n">
        <x:f>C6/D6*B43</x:f>
        <x:v>6.589601008064516</x:v>
      </x:c>
      <x:c r="F6" s="37" t="n">
        <x:f>$E$20+B6*$F$20</x:f>
        <x:v>174</x:v>
      </x:c>
      <x:c r="G6" s="37" t="n">
        <x:f>IF(B6&lt;$J$20,$B$20+B6*$I$20,0)</x:f>
        <x:v>105</x:v>
      </x:c>
      <x:c r="H6" s="37" t="n">
        <x:f>$B$20*B6+$I$20*(B6-1)*B6/2</x:f>
        <x:v>70</x:v>
      </x:c>
      <x:c r="I6" s="37" t="n">
        <x:f>ROUNDDOWN(ROUND(H6*'Обзор'!$B$19,6),0)</x:f>
        <x:v>49</x:v>
      </x:c>
      <x:c r="J6" s="29" t="str">
        <x:v>Один эльф</x:v>
      </x:c>
    </x:row>
    <x:row r="7" ht="39" customHeight="1">
      <x:c r="A7" s="20" t="str">
        <x:v>Стрелковая башня</x:v>
      </x:c>
      <x:c r="B7" s="20" t="n">
        <x:v>2</x:v>
      </x:c>
      <x:c r="C7" s="167" t="n">
        <x:f>$C$20*(1+(B7-1)*$D$20)</x:f>
        <x:v>7.353994725000001</x:v>
      </x:c>
      <x:c r="D7" s="24" t="n">
        <x:f>$G$20/(1+(B7-1)*$H$20)</x:f>
        <x:v>0.5688073394495412</x:v>
      </x:c>
      <x:c r="E7" s="24" t="n">
        <x:f>C7/D7*B44</x:f>
        <x:v>12.928797177822583</x:v>
      </x:c>
      <x:c r="F7" s="37" t="n">
        <x:f>$E$20+B7*$F$20</x:f>
        <x:v>186</x:v>
      </x:c>
      <x:c r="G7" s="37" t="n">
        <x:f>IF(B7&lt;$J$20,$B$20+B7*$I$20,0)</x:f>
        <x:v>140</x:v>
      </x:c>
      <x:c r="H7" s="37" t="n">
        <x:f>$B$20*B7+$I$20*(B7-1)*B7/2</x:f>
        <x:v>175</x:v>
      </x:c>
      <x:c r="I7" s="37" t="n">
        <x:f>ROUNDDOWN(ROUND(H7*'Обзор'!$B$19,6),0)</x:f>
        <x:v>122</x:v>
      </x:c>
      <x:c r="J7" s="31" t="str">
        <x:v>Один эльф</x:v>
      </x:c>
    </x:row>
    <x:row r="8" ht="39" customHeight="1">
      <x:c r="A8" s="18" t="str">
        <x:v>Стрелковая башня</x:v>
      </x:c>
      <x:c r="B8" s="18" t="n">
        <x:v>3</x:v>
      </x:c>
      <x:c r="C8" s="167" t="n">
        <x:f>$C$20*(1+(B8-1)*$D$20)</x:f>
        <x:v>10.622436825000001</x:v>
      </x:c>
      <x:c r="D8" s="24" t="n">
        <x:f>$G$20/(1+(B8-1)*$H$20)</x:f>
        <x:v>0.5254237288135594</x:v>
      </x:c>
      <x:c r="E8" s="24" t="n">
        <x:f>C8/D8*B45</x:f>
        <x:v>40.43379178548387</x:v>
      </x:c>
      <x:c r="F8" s="37" t="n">
        <x:f>$E$20+B8*$F$20</x:f>
        <x:v>198</x:v>
      </x:c>
      <x:c r="G8" s="37" t="n">
        <x:f>IF(B8&lt;$J$20,$B$20+B8*$I$20,0)</x:f>
        <x:v>0</x:v>
      </x:c>
      <x:c r="H8" s="37" t="n">
        <x:f>$B$20*B8+$I$20*(B8-1)*B8/2</x:f>
        <x:v>315</x:v>
      </x:c>
      <x:c r="I8" s="37" t="n">
        <x:f>ROUNDDOWN(ROUND(H8*'Обзор'!$B$19,6),0)</x:f>
        <x:v>220</x:v>
      </x:c>
      <x:c r="J8" s="29" t="str">
        <x:v>Два эльфа, две стрелы</x:v>
      </x:c>
    </x:row>
    <x:row r="9" ht="39" customHeight="1">
      <x:c r="A9" s="20" t="str">
        <x:v>Огненный маяк</x:v>
      </x:c>
      <x:c r="B9" s="20" t="n">
        <x:v>1</x:v>
      </x:c>
      <x:c r="C9" s="167" t="n">
        <x:f>$C$21*(1+(B9-1)*$D$21)</x:f>
        <x:v>3.14076858046875</x:v>
      </x:c>
      <x:c r="D9" s="24" t="n">
        <x:f>$G$21/(1+(B9-1)*$H$21)</x:f>
        <x:v>2.214286</x:v>
      </x:c>
      <x:c r="E9" s="24" t="n">
        <x:f>C9/D9</x:f>
        <x:v>1.4184114339650569</x:v>
      </x:c>
      <x:c r="F9" s="37" t="n">
        <x:f>$E$21+B9*$F$21</x:f>
        <x:v>136</x:v>
      </x:c>
      <x:c r="G9" s="37" t="n">
        <x:f>IF(B9&lt;$J$21,$B$21+B9*$I$21,0)</x:f>
        <x:v>145</x:v>
      </x:c>
      <x:c r="H9" s="37" t="n">
        <x:f>$B$21*B9+$I$21*(B9-1)*B9/2</x:f>
        <x:v>110</x:v>
      </x:c>
      <x:c r="I9" s="37" t="n">
        <x:f>ROUNDDOWN(ROUND(H9*'Обзор'!$B$19,6),0)</x:f>
        <x:v>77</x:v>
      </x:c>
      <x:c r="J9" s="34" t="str">
        <x:f>"Взрыв: "&amp;TEXT($B$27+B9*$B$28,"0")&amp;" ед."</x:f>
        <x:v>Взрыв: 53 ед.</x:v>
      </x:c>
    </x:row>
    <x:row r="10" ht="39" customHeight="1">
      <x:c r="A10" s="18" t="str">
        <x:v>Огненный маяк</x:v>
      </x:c>
      <x:c r="B10" s="18" t="n">
        <x:v>2</x:v>
      </x:c>
      <x:c r="C10" s="167" t="n">
        <x:f>$C$21*(1+(B10-1)*$D$21)</x:f>
        <x:v>5.65338344484375</x:v>
      </x:c>
      <x:c r="D10" s="24" t="n">
        <x:f>$G$21/(1+(B10-1)*$H$21)</x:f>
        <x:v>2.0314550458715597</x:v>
      </x:c>
      <x:c r="E10" s="24" t="n">
        <x:f>C10/D10</x:f>
        <x:v>2.782923233439442</x:v>
      </x:c>
      <x:c r="F10" s="37" t="n">
        <x:f>$E$21+B10*$F$21</x:f>
        <x:v>146</x:v>
      </x:c>
      <x:c r="G10" s="37" t="n">
        <x:f>IF(B10&lt;$J$21,$B$21+B10*$I$21,0)</x:f>
        <x:v>180</x:v>
      </x:c>
      <x:c r="H10" s="37" t="n">
        <x:f>$B$21*B10+$I$21*(B10-1)*B10/2</x:f>
        <x:v>255</x:v>
      </x:c>
      <x:c r="I10" s="37" t="n">
        <x:f>ROUNDDOWN(ROUND(H10*'Обзор'!$B$19,6),0)</x:f>
        <x:v>178</x:v>
      </x:c>
      <x:c r="J10" s="34" t="str">
        <x:f>"Взрыв: "&amp;TEXT($B$27+B10*$B$28,"0")&amp;" ед."</x:f>
        <x:v>Взрыв: 58 ед.</x:v>
      </x:c>
    </x:row>
    <x:row r="11" ht="39" customHeight="1">
      <x:c r="A11" s="20" t="str">
        <x:v>Огненный маяк</x:v>
      </x:c>
      <x:c r="B11" s="20" t="n">
        <x:v>3</x:v>
      </x:c>
      <x:c r="C11" s="167" t="n">
        <x:f>$C$21*(1+(B11-1)*$D$21)</x:f>
        <x:v>8.16599830921875</x:v>
      </x:c>
      <x:c r="D11" s="24" t="n">
        <x:f>$G$21/(1+(B11-1)*$H$21)</x:f>
        <x:v>1.876513559322034</x:v>
      </x:c>
      <x:c r="E11" s="24" t="n">
        <x:f>C11/D11</x:f>
        <x:v>4.351686279404794</x:v>
      </x:c>
      <x:c r="F11" s="37" t="n">
        <x:f>$E$21+B11*$F$21</x:f>
        <x:v>156</x:v>
      </x:c>
      <x:c r="G11" s="37" t="n">
        <x:f>IF(B11&lt;$J$21,$B$21+B11*$I$21,0)</x:f>
        <x:v>0</x:v>
      </x:c>
      <x:c r="H11" s="37" t="n">
        <x:f>$B$21*B11+$I$21*(B11-1)*B11/2</x:f>
        <x:v>435</x:v>
      </x:c>
      <x:c r="I11" s="37" t="n">
        <x:f>ROUNDDOWN(ROUND(H11*'Обзор'!$B$19,6),0)</x:f>
        <x:v>304</x:v>
      </x:c>
      <x:c r="J11" s="34" t="str">
        <x:f>"Взрыв: "&amp;TEXT($B$27+B11*$B$28,"0")&amp;" ед."</x:f>
        <x:v>Взрыв: 63 ед.</x:v>
      </x:c>
    </x:row>
    <x:row r="12" ht="39" customHeight="1">
      <x:c r="A12" s="18" t="str">
        <x:v>Ледяной обелиск</x:v>
      </x:c>
      <x:c r="B12" s="18" t="n">
        <x:v>1</x:v>
      </x:c>
      <x:c r="C12" s="167" t="n">
        <x:f>$C$22*(1+(B12-1)*$D$22)</x:f>
        <x:v>2.1847875</x:v>
      </x:c>
      <x:c r="D12" s="24" t="n">
        <x:f>$G$22/(1+(B12-1)*$H$22)</x:f>
        <x:v>1.05</x:v>
      </x:c>
      <x:c r="E12" s="24" t="n">
        <x:f>C12/D12</x:f>
        <x:v>2.08075</x:v>
      </x:c>
      <x:c r="F12" s="37" t="n">
        <x:f>$E$22+B12*$F$22</x:f>
        <x:v>136</x:v>
      </x:c>
      <x:c r="G12" s="37" t="n">
        <x:f>IF(B12&lt;$J$22,$B$22+B12*$I$22,0)</x:f>
        <x:v>120</x:v>
      </x:c>
      <x:c r="H12" s="37" t="n">
        <x:f>$B$22*B12+$I$22*(B12-1)*B12/2</x:f>
        <x:v>85</x:v>
      </x:c>
      <x:c r="I12" s="37" t="n">
        <x:f>ROUNDDOWN(ROUND(H12*'Обзор'!$B$19,6),0)</x:f>
        <x:v>59</x:v>
      </x:c>
      <x:c r="J12" s="34" t="str">
        <x:f>"Скорость −"&amp;TEXT(1-$B$29,"0%")&amp;", "&amp;TEXT($B$30+B12*$B$31,"0.00")&amp;" с"</x:f>
        <x:v>Скорость −45%, 1.95 с</x:v>
      </x:c>
    </x:row>
    <x:row r="13" ht="39" customHeight="1">
      <x:c r="A13" s="20" t="str">
        <x:v>Ледяной обелиск</x:v>
      </x:c>
      <x:c r="B13" s="20" t="n">
        <x:v>2</x:v>
      </x:c>
      <x:c r="C13" s="167" t="n">
        <x:f>$C$22*(1+(B13-1)*$D$22)</x:f>
        <x:v>3.9326175</x:v>
      </x:c>
      <x:c r="D13" s="24" t="n">
        <x:f>$G$22/(1+(B13-1)*$H$22)</x:f>
        <x:v>0.963302752293578</x:v>
      </x:c>
      <x:c r="E13" s="24" t="n">
        <x:f>C13/D13</x:f>
        <x:v>4.0824315</x:v>
      </x:c>
      <x:c r="F13" s="37" t="n">
        <x:f>$E$22+B13*$F$22</x:f>
        <x:v>146</x:v>
      </x:c>
      <x:c r="G13" s="37" t="n">
        <x:f>IF(B13&lt;$J$22,$B$22+B13*$I$22,0)</x:f>
        <x:v>155</x:v>
      </x:c>
      <x:c r="H13" s="37" t="n">
        <x:f>$B$22*B13+$I$22*(B13-1)*B13/2</x:f>
        <x:v>205</x:v>
      </x:c>
      <x:c r="I13" s="37" t="n">
        <x:f>ROUNDDOWN(ROUND(H13*'Обзор'!$B$19,6),0)</x:f>
        <x:v>143</x:v>
      </x:c>
      <x:c r="J13" s="34" t="str">
        <x:f>"Скорость −"&amp;TEXT(1-$B$29,"0%")&amp;", "&amp;TEXT($B$30+B13*$B$31,"0.00")&amp;" с"</x:f>
        <x:v>Скорость −45%, 2.30 с</x:v>
      </x:c>
    </x:row>
    <x:row r="14" ht="39" customHeight="1">
      <x:c r="A14" s="18" t="str">
        <x:v>Ледяной обелиск</x:v>
      </x:c>
      <x:c r="B14" s="18" t="n">
        <x:v>3</x:v>
      </x:c>
      <x:c r="C14" s="167" t="n">
        <x:f>$C$22*(1+(B14-1)*$D$22)</x:f>
        <x:v>5.6804475000000005</x:v>
      </x:c>
      <x:c r="D14" s="24" t="n">
        <x:f>$G$22/(1+(B14-1)*$H$22)</x:f>
        <x:v>0.8898305084745763</x:v>
      </x:c>
      <x:c r="E14" s="24" t="n">
        <x:f>C14/D14</x:f>
        <x:v>6.383741</x:v>
      </x:c>
      <x:c r="F14" s="37" t="n">
        <x:f>$E$22+B14*$F$22</x:f>
        <x:v>156</x:v>
      </x:c>
      <x:c r="G14" s="37" t="n">
        <x:f>IF(B14&lt;$J$22,$B$22+B14*$I$22,0)</x:f>
        <x:v>0</x:v>
      </x:c>
      <x:c r="H14" s="37" t="n">
        <x:f>$B$22*B14+$I$22*(B14-1)*B14/2</x:f>
        <x:v>360</x:v>
      </x:c>
      <x:c r="I14" s="37" t="n">
        <x:f>ROUNDDOWN(ROUND(H14*'Обзор'!$B$19,6),0)</x:f>
        <x:v>252</x:v>
      </x:c>
      <x:c r="J14" s="34" t="str">
        <x:f>"Скорость −"&amp;TEXT(1-$B$29,"0%")&amp;", "&amp;TEXT($B$30+B14*$B$31,"0.00")&amp;" с"</x:f>
        <x:v>Скорость −45%, 2.65 с</x:v>
      </x:c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8" customHeight="1">
      <x:c r="A18" s="28" t="str">
        <x:v>Исходные параметры</x:v>
      </x:c>
      <x:c r="B18" s="28"/>
      <x:c r="C18" s="28"/>
      <x:c r="D18" s="28"/>
      <x:c r="E18" s="28"/>
      <x:c r="F18" s="28"/>
      <x:c r="G18" s="28"/>
      <x:c r="H18" s="28"/>
      <x:c r="I18" s="28"/>
      <x:c r="J18" s="28"/>
    </x:row>
    <x:row r="19" ht="38" customHeight="1">
      <x:c r="A19" s="14" t="str">
        <x:v>Башня</x:v>
      </x:c>
      <x:c r="B19" s="15" t="str">
        <x:v>Цена</x:v>
      </x:c>
      <x:c r="C19" s="15" t="str">
        <x:v>Баз. урон</x:v>
      </x:c>
      <x:c r="D19" s="15" t="str">
        <x:v>Прирост / ур.</x:v>
      </x:c>
      <x:c r="E19" s="15" t="str">
        <x:v>Баз. радиус</x:v>
      </x:c>
      <x:c r="F19" s="15" t="str">
        <x:v>Радиус / ур.</x:v>
      </x:c>
      <x:c r="G19" s="15" t="str">
        <x:v>Баз. интервал</x:v>
      </x:c>
      <x:c r="H19" s="15" t="str">
        <x:v>Темп / ур.</x:v>
      </x:c>
      <x:c r="I19" s="15" t="str">
        <x:v>Апгрейд / ур.</x:v>
      </x:c>
      <x:c r="J19" s="16" t="str">
        <x:v>Предел ур.</x:v>
      </x:c>
    </x:row>
    <x:row r="20" ht="27" customHeight="1">
      <x:c r="A20" s="18" t="str">
        <x:v>Стрелковая башня</x:v>
      </x:c>
      <x:c r="B20" s="21" t="n">
        <x:v>70</x:v>
      </x:c>
      <x:c r="C20" s="166" t="n">
        <x:v>4.085552625</x:v>
      </x:c>
      <x:c r="D20" s="41" t="n">
        <x:v>0.8</x:v>
      </x:c>
      <x:c r="E20" s="21" t="n">
        <x:v>162</x:v>
      </x:c>
      <x:c r="F20" s="21" t="n">
        <x:v>12</x:v>
      </x:c>
      <x:c r="G20" s="23" t="n">
        <x:v>0.62</x:v>
      </x:c>
      <x:c r="H20" s="41" t="n">
        <x:v>0.09</x:v>
      </x:c>
      <x:c r="I20" s="21" t="n">
        <x:v>35</x:v>
      </x:c>
      <x:c r="J20" s="21" t="n">
        <x:v>3</x:v>
      </x:c>
    </x:row>
    <x:row r="21" ht="27" customHeight="1">
      <x:c r="A21" s="20" t="str">
        <x:v>Огненный маяк</x:v>
      </x:c>
      <x:c r="B21" s="21" t="n">
        <x:v>110</x:v>
      </x:c>
      <x:c r="C21" s="168" t="n">
        <x:v>3.14076858046875</x:v>
      </x:c>
      <x:c r="D21" s="41" t="n">
        <x:v>0.8</x:v>
      </x:c>
      <x:c r="E21" s="21" t="n">
        <x:v>126</x:v>
      </x:c>
      <x:c r="F21" s="21" t="n">
        <x:v>10</x:v>
      </x:c>
      <x:c r="G21" s="148" t="n">
        <x:v>2.214286</x:v>
      </x:c>
      <x:c r="H21" s="41" t="n">
        <x:v>0.09</x:v>
      </x:c>
      <x:c r="I21" s="21" t="n">
        <x:v>35</x:v>
      </x:c>
      <x:c r="J21" s="21" t="n">
        <x:v>3</x:v>
      </x:c>
    </x:row>
    <x:row r="22" ht="27" customHeight="1">
      <x:c r="A22" s="18" t="str">
        <x:v>Ледяной обелиск</x:v>
      </x:c>
      <x:c r="B22" s="21" t="n">
        <x:v>85</x:v>
      </x:c>
      <x:c r="C22" s="23" t="n">
        <x:v>2.1847875</x:v>
      </x:c>
      <x:c r="D22" s="41" t="n">
        <x:v>0.8</x:v>
      </x:c>
      <x:c r="E22" s="21" t="n">
        <x:v>126</x:v>
      </x:c>
      <x:c r="F22" s="21" t="n">
        <x:v>10</x:v>
      </x:c>
      <x:c r="G22" s="23" t="n">
        <x:v>1.05</x:v>
      </x:c>
      <x:c r="H22" s="41" t="n">
        <x:v>0.09</x:v>
      </x:c>
      <x:c r="I22" s="21" t="n">
        <x:v>35</x:v>
      </x:c>
      <x:c r="J22" s="21" t="n">
        <x:v>3</x:v>
      </x:c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8" customHeight="1">
      <x:c r="A25" s="28" t="str">
        <x:v>Особые эффекты</x:v>
      </x:c>
      <x:c r="B25" s="28"/>
      <x:c r="C25" s="28"/>
      <x:c r="D25" s="28"/>
      <x:c r="E25" s="28"/>
      <x:c r="F25" s="28"/>
      <x:c r="G25" s="28"/>
      <x:c r="H25" s="28"/>
      <x:c r="I25" s="28"/>
      <x:c r="J25" s="28"/>
    </x:row>
    <x:row r="26" ht="38" customHeight="1">
      <x:c r="A26" s="14" t="str">
        <x:v>Параметр</x:v>
      </x:c>
      <x:c r="B26" s="15" t="str">
        <x:v>Значение</x:v>
      </x:c>
      <x:c r="C26" s="16" t="str">
        <x:v>Единица</x:v>
      </x:c>
      <x:c r="D26" s="2"/>
      <x:c r="E26" s="2"/>
      <x:c r="F26" s="2"/>
      <x:c r="G26" s="2"/>
      <x:c r="H26" s="2"/>
      <x:c r="I26" s="2"/>
      <x:c r="J26" s="2"/>
    </x:row>
    <x:row r="27" ht="34" customHeight="1">
      <x:c r="A27" s="29" t="str">
        <x:v>Взрыв: базовый радиус</x:v>
      </x:c>
      <x:c r="B27" s="21" t="n">
        <x:v>48</x:v>
      </x:c>
      <x:c r="C27" s="18" t="str">
        <x:v>ед.</x:v>
      </x:c>
      <x:c r="D27" s="2"/>
      <x:c r="E27" s="2"/>
      <x:c r="F27" s="2"/>
      <x:c r="G27" s="2"/>
      <x:c r="H27" s="2"/>
      <x:c r="I27" s="2"/>
      <x:c r="J27" s="2"/>
    </x:row>
    <x:row r="28" ht="34" customHeight="1">
      <x:c r="A28" s="31" t="str">
        <x:v>Взрыв: за уровень</x:v>
      </x:c>
      <x:c r="B28" s="21" t="n">
        <x:v>5</x:v>
      </x:c>
      <x:c r="C28" s="20" t="str">
        <x:v>ед.</x:v>
      </x:c>
      <x:c r="D28" s="2"/>
      <x:c r="E28" s="2"/>
      <x:c r="F28" s="2"/>
      <x:c r="G28" s="2"/>
      <x:c r="H28" s="2"/>
      <x:c r="I28" s="2"/>
      <x:c r="J28" s="2"/>
    </x:row>
    <x:row r="29" ht="34" customHeight="1">
      <x:c r="A29" s="29" t="str">
        <x:v>Лёд: остаточная скорость</x:v>
      </x:c>
      <x:c r="B29" s="41" t="n">
        <x:v>0.55</x:v>
      </x:c>
      <x:c r="C29" s="18"/>
      <x:c r="D29" s="2"/>
      <x:c r="E29" s="2"/>
      <x:c r="F29" s="2"/>
      <x:c r="G29" s="2"/>
      <x:c r="H29" s="2"/>
      <x:c r="I29" s="2"/>
      <x:c r="J29" s="2"/>
    </x:row>
    <x:row r="30" ht="34" customHeight="1">
      <x:c r="A30" s="31" t="str">
        <x:v>Лёд: базовая длительность</x:v>
      </x:c>
      <x:c r="B30" s="23" t="n">
        <x:v>1.6</x:v>
      </x:c>
      <x:c r="C30" s="20" t="str">
        <x:v>с</x:v>
      </x:c>
      <x:c r="D30" s="2"/>
      <x:c r="E30" s="2"/>
      <x:c r="F30" s="2"/>
      <x:c r="G30" s="2"/>
      <x:c r="H30" s="2"/>
      <x:c r="I30" s="2"/>
      <x:c r="J30" s="2"/>
    </x:row>
    <x:row r="31" ht="34" customHeight="1">
      <x:c r="A31" s="29" t="str">
        <x:v>Лёд: за уровень</x:v>
      </x:c>
      <x:c r="B31" s="23" t="n">
        <x:v>0.35</x:v>
      </x:c>
      <x:c r="C31" s="18" t="str">
        <x:v>с</x:v>
      </x:c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32" t="str">
        <x:v>Урон = базовый × (1 + (уровень − 1) × прирост). Интервал = базовый / (1 + (уровень − 1) × темп).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4" customHeight="1">
      <x:c r="A35" s="32" t="str">
        <x:v>Радиус и длительность эффекта включают прибавку уже на первом уровне. Нулевой апгрейд означает максимум.</x:v>
      </x:c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30" customHeight="1">
      <x:c r="A37" s="171" t="str">
        <x:v>Полёт снарядов</x:v>
      </x:c>
      <x:c r="B37" s="171"/>
      <x:c r="C37" s="171"/>
      <x:c r="D37" s="171"/>
      <x:c r="E37" s="171"/>
      <x:c r="F37" s="171"/>
      <x:c r="G37" s="171"/>
      <x:c r="H37" s="171"/>
      <x:c r="I37" s="171"/>
      <x:c r="J37" s="171"/>
    </x:row>
    <x:row r="38" ht="46" customHeight="1">
      <x:c r="A38" s="180" t="str">
        <x:v>Параметр</x:v>
      </x:c>
      <x:c r="B38" s="181" t="str">
        <x:v>Значение</x:v>
      </x:c>
      <x:c r="C38" s="182" t="str">
        <x:v>Единица</x:v>
      </x:c>
      <x:c r="D38" s="2"/>
      <x:c r="E38" s="2"/>
      <x:c r="F38" s="2"/>
      <x:c r="G38" s="2"/>
      <x:c r="H38" s="2"/>
      <x:c r="I38" s="2"/>
      <x:c r="J38" s="2"/>
    </x:row>
    <x:row r="39" ht="32" customHeight="1">
      <x:c r="A39" s="184" t="str">
        <x:v>Скорость снарядов</x:v>
      </x:c>
      <x:c r="B39" s="185" t="n">
        <x:v>280</x:v>
      </x:c>
      <x:c r="C39" s="184" t="str">
        <x:v>ед./с</x:v>
      </x:c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125" t="str">
        <x:v>Эльф готовит лук 0,20 с; интервал идёт от начала атаки. Стрелы III выпускаются из двух отдельных луков.</x:v>
      </x:c>
    </x:row>
    <x:row r="43" ht="27" customHeight="1">
      <x:c r="A43" s="54" t="str">
        <x:v>Стрелковая I</x:v>
      </x:c>
      <x:c r="B43" s="284" t="n">
        <x:v>1</x:v>
      </x:c>
      <x:c r="C43" s="54" t="str">
        <x:v>стрел/залп</x:v>
      </x:c>
    </x:row>
    <x:row r="44" ht="27" customHeight="1">
      <x:c r="A44" s="54" t="str">
        <x:v>Стрелковая II</x:v>
      </x:c>
      <x:c r="B44" s="284" t="n">
        <x:v>1</x:v>
      </x:c>
      <x:c r="C44" s="54" t="str">
        <x:v>стрел/залп</x:v>
      </x:c>
    </x:row>
    <x:row r="45" ht="27" customHeight="1">
      <x:c r="A45" s="54" t="str">
        <x:v>Стрелковая III</x:v>
      </x:c>
      <x:c r="B45" s="284" t="n">
        <x:v>2</x:v>
      </x:c>
      <x:c r="C45" s="54" t="str">
        <x:v>стрел/залп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14F4A"/>
  </x:sheetPr>
  <x:sheetViews>
    <x:sheetView showGridLines="0" workbookViewId="0"/>
  </x:sheetViews>
  <x:sheetFormatPr defaultRowHeight="15"/>
  <x:cols>
    <x:col min="1" max="1" width="22.5" hidden="0" customWidth="1"/>
    <x:col min="2" max="2" width="18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  <x:col min="7" max="7" width="19.3799991607666" hidden="0" customWidth="1"/>
    <x:col min="8" max="8" width="27.5" hidden="0" customWidth="1"/>
  </x:cols>
  <x:sheetData>
    <x:row r="1" ht="36" customHeight="1">
      <x:c r="A1" s="3" t="str">
        <x:v>Добыча и инвентарь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5" t="str">
        <x:v>Розыгрыш после победы на Skeleton Cemetry: завершены все 20 волн. Максимум один предмет за карту.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80" t="str">
        <x:v>Исход</x:v>
      </x:c>
      <x:c r="B5" s="181" t="str">
        <x:v>Шанс / победа</x:v>
      </x:c>
      <x:c r="C5" s="181" t="str">
        <x:v>Доля оружия</x:v>
      </x:c>
      <x:c r="D5" s="181" t="str">
        <x:v>Доля брони</x:v>
      </x:c>
      <x:c r="E5" s="181" t="str">
        <x:v>Оружие / победа</x:v>
      </x:c>
      <x:c r="F5" s="181" t="str">
        <x:v>Броня / победа</x:v>
      </x:c>
      <x:c r="G5" s="2"/>
      <x:c r="H5" s="2"/>
    </x:row>
    <x:row r="6" ht="32" customHeight="1">
      <x:c r="A6" s="184" t="str">
        <x:v>Common</x:v>
      </x:c>
      <x:c r="B6" s="192" t="n">
        <x:v>0.2</x:v>
      </x:c>
      <x:c r="C6" s="192" t="n">
        <x:v>0.5</x:v>
      </x:c>
      <x:c r="D6" s="193" t="n">
        <x:f>1-C6</x:f>
        <x:v>0.5</x:v>
      </x:c>
      <x:c r="E6" s="193" t="n">
        <x:f>B6*C6</x:f>
        <x:v>0.1</x:v>
      </x:c>
      <x:c r="F6" s="193" t="n">
        <x:f>B6*D6</x:f>
        <x:v>0.1</x:v>
      </x:c>
      <x:c r="G6" s="2"/>
      <x:c r="H6" s="2"/>
    </x:row>
    <x:row r="7" ht="32" customHeight="1">
      <x:c r="A7" s="187" t="str">
        <x:v>Rare</x:v>
      </x:c>
      <x:c r="B7" s="192" t="n">
        <x:v>0.1</x:v>
      </x:c>
      <x:c r="C7" s="192" t="n">
        <x:v>0.5</x:v>
      </x:c>
      <x:c r="D7" s="193" t="n">
        <x:f>1-C7</x:f>
        <x:v>0.5</x:v>
      </x:c>
      <x:c r="E7" s="193" t="n">
        <x:f>B7*C7</x:f>
        <x:v>0.05</x:v>
      </x:c>
      <x:c r="F7" s="193" t="n">
        <x:f>B7*D7</x:f>
        <x:v>0.05</x:v>
      </x:c>
      <x:c r="G7" s="2"/>
      <x:c r="H7" s="2"/>
    </x:row>
    <x:row r="8" ht="32" customHeight="1">
      <x:c r="A8" s="184" t="str">
        <x:v>Mystical</x:v>
      </x:c>
      <x:c r="B8" s="192" t="n">
        <x:v>0.025</x:v>
      </x:c>
      <x:c r="C8" s="192" t="n">
        <x:v>0.5</x:v>
      </x:c>
      <x:c r="D8" s="193" t="n">
        <x:f>1-C8</x:f>
        <x:v>0.5</x:v>
      </x:c>
      <x:c r="E8" s="193" t="n">
        <x:f>B8*C8</x:f>
        <x:v>0.0125</x:v>
      </x:c>
      <x:c r="F8" s="193" t="n">
        <x:f>B8*D8</x:f>
        <x:v>0.0125</x:v>
      </x:c>
      <x:c r="G8" s="2"/>
      <x:c r="H8" s="2"/>
    </x:row>
    <x:row r="9" ht="32" customHeight="1">
      <x:c r="A9" s="187" t="str">
        <x:v>Артефакт</x:v>
      </x:c>
      <x:c r="B9" s="192" t="n">
        <x:v>0.001</x:v>
      </x:c>
      <x:c r="C9" s="192"/>
      <x:c r="D9" s="194"/>
      <x:c r="E9" s="194"/>
      <x:c r="F9" s="194"/>
      <x:c r="G9" s="2"/>
      <x:c r="H9" s="2"/>
    </x:row>
    <x:row r="10" ht="32" customHeight="1">
      <x:c r="A10" s="184" t="str">
        <x:v>Без предмета</x:v>
      </x:c>
      <x:c r="B10" s="193" t="n">
        <x:f>1-SUM(B6:B9)</x:f>
        <x:v>0.6739999999999999</x:v>
      </x:c>
      <x:c r="C10" s="192"/>
      <x:c r="D10" s="195"/>
      <x:c r="E10" s="195"/>
      <x:c r="F10" s="195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28" customHeight="1">
      <x:c r="A12" s="28" t="str">
        <x:v>Бонус обычной атаки</x:v>
      </x:c>
      <x:c r="B12" s="28"/>
      <x:c r="C12" s="28"/>
      <x:c r="D12" s="28"/>
      <x:c r="E12" s="28"/>
      <x:c r="F12" s="28"/>
      <x:c r="G12" s="28"/>
      <x:c r="H12" s="28"/>
    </x:row>
    <x:row r="13" ht="38" customHeight="1">
      <x:c r="A13" s="14" t="str">
        <x:v>Оружие</x:v>
      </x:c>
      <x:c r="B13" s="15" t="str">
        <x:v>Редкость</x:v>
      </x:c>
      <x:c r="C13" s="15" t="str">
        <x:v>Мин. бонус</x:v>
      </x:c>
      <x:c r="D13" s="15" t="str">
        <x:v>Макс. бонус</x:v>
      </x:c>
      <x:c r="E13" s="15" t="str">
        <x:v>Средний бонус</x:v>
      </x:c>
      <x:c r="F13" s="15" t="str">
        <x:v>Доступно герою</x:v>
      </x:c>
      <x:c r="G13" s="15" t="str">
        <x:v>DPS мин. без штрафа</x:v>
      </x:c>
      <x:c r="H13" s="16" t="str">
        <x:v>DPS макс. без штрафа</x:v>
      </x:c>
    </x:row>
    <x:row r="14" ht="42" customHeight="1">
      <x:c r="A14" s="18" t="str">
        <x:v>Меч</x:v>
      </x:c>
      <x:c r="B14" s="18" t="str">
        <x:v>Common</x:v>
      </x:c>
      <x:c r="C14" s="25" t="n">
        <x:v>1</x:v>
      </x:c>
      <x:c r="D14" s="25" t="n">
        <x:v>3</x:v>
      </x:c>
      <x:c r="E14" s="24" t="n">
        <x:f>(C14+D14)/2</x:f>
        <x:v>2</x:v>
      </x:c>
      <x:c r="F14" s="196" t="str">
        <x:v>Ахилл; Цирцея со штрафом</x:v>
      </x:c>
      <x:c r="G14" s="24" t="n">
        <x:f>('Герои'!$D$7+C14)/'Герои'!$E$7</x:f>
        <x:v>3.5</x:v>
      </x:c>
      <x:c r="H14" s="24" t="n">
        <x:f>('Герои'!$D$7+D14)/'Герои'!$E$7</x:f>
        <x:v>5.5</x:v>
      </x:c>
    </x:row>
    <x:row r="15" ht="42" customHeight="1">
      <x:c r="A15" s="20" t="str">
        <x:v>Меч</x:v>
      </x:c>
      <x:c r="B15" s="20" t="str">
        <x:v>Rare</x:v>
      </x:c>
      <x:c r="C15" s="25" t="n">
        <x:v>5</x:v>
      </x:c>
      <x:c r="D15" s="25" t="n">
        <x:v>7</x:v>
      </x:c>
      <x:c r="E15" s="24" t="n">
        <x:f>(C15+D15)/2</x:f>
        <x:v>6</x:v>
      </x:c>
      <x:c r="F15" s="197" t="str">
        <x:v>Ахилл; Цирцея со штрафом</x:v>
      </x:c>
      <x:c r="G15" s="24" t="n">
        <x:f>('Герои'!$D$7+C15)/'Герои'!$E$7</x:f>
        <x:v>7.5</x:v>
      </x:c>
      <x:c r="H15" s="24" t="n">
        <x:f>('Герои'!$D$7+D15)/'Герои'!$E$7</x:f>
        <x:v>9.5</x:v>
      </x:c>
    </x:row>
    <x:row r="16" ht="42" customHeight="1">
      <x:c r="A16" s="18" t="str">
        <x:v>Меч</x:v>
      </x:c>
      <x:c r="B16" s="18" t="str">
        <x:v>Mystical</x:v>
      </x:c>
      <x:c r="C16" s="25" t="n">
        <x:v>10</x:v>
      </x:c>
      <x:c r="D16" s="25" t="n">
        <x:v>15</x:v>
      </x:c>
      <x:c r="E16" s="24" t="n">
        <x:f>(C16+D16)/2</x:f>
        <x:v>12.5</x:v>
      </x:c>
      <x:c r="F16" s="196" t="str">
        <x:v>Ахилл; Цирцея со штрафом</x:v>
      </x:c>
      <x:c r="G16" s="24" t="n">
        <x:f>('Герои'!$D$7+C16)/'Герои'!$E$7</x:f>
        <x:v>12.5</x:v>
      </x:c>
      <x:c r="H16" s="24" t="n">
        <x:f>('Герои'!$D$7+D16)/'Герои'!$E$7</x:f>
        <x:v>17.5</x:v>
      </x:c>
    </x:row>
    <x:row r="17" ht="27" customHeight="1">
      <x:c r="A17" s="20" t="str">
        <x:v>Посох</x:v>
      </x:c>
      <x:c r="B17" s="20" t="str">
        <x:v>Common</x:v>
      </x:c>
      <x:c r="C17" s="25" t="n">
        <x:v>1</x:v>
      </x:c>
      <x:c r="D17" s="25" t="n">
        <x:v>4</x:v>
      </x:c>
      <x:c r="E17" s="24" t="n">
        <x:f>(C17+D17)/2</x:f>
        <x:v>2.5</x:v>
      </x:c>
      <x:c r="F17" s="40" t="str">
        <x:v>Цирцея: урон; оба: мана</x:v>
      </x:c>
      <x:c r="G17" s="24" t="n">
        <x:f>('Герои'!$D$6+C17)/'Герои'!$E$6</x:f>
        <x:v>3</x:v>
      </x:c>
      <x:c r="H17" s="24" t="n">
        <x:f>('Герои'!$D$6+D17)/'Герои'!$E$6</x:f>
        <x:v>4.5</x:v>
      </x:c>
    </x:row>
    <x:row r="18" ht="27" customHeight="1">
      <x:c r="A18" s="18" t="str">
        <x:v>Посох</x:v>
      </x:c>
      <x:c r="B18" s="18" t="str">
        <x:v>Rare</x:v>
      </x:c>
      <x:c r="C18" s="25" t="n">
        <x:v>5</x:v>
      </x:c>
      <x:c r="D18" s="25" t="n">
        <x:v>9</x:v>
      </x:c>
      <x:c r="E18" s="24" t="n">
        <x:f>(C18+D18)/2</x:f>
        <x:v>7</x:v>
      </x:c>
      <x:c r="F18" s="39" t="str">
        <x:v>Цирцея: урон; оба: мана</x:v>
      </x:c>
      <x:c r="G18" s="24" t="n">
        <x:f>('Герои'!$D$6+C18)/'Герои'!$E$6</x:f>
        <x:v>5</x:v>
      </x:c>
      <x:c r="H18" s="24" t="n">
        <x:f>('Герои'!$D$6+D18)/'Герои'!$E$6</x:f>
        <x:v>7</x:v>
      </x:c>
    </x:row>
    <x:row r="19" ht="27" customHeight="1">
      <x:c r="A19" s="20" t="str">
        <x:v>Посох</x:v>
      </x:c>
      <x:c r="B19" s="20" t="str">
        <x:v>Mystical</x:v>
      </x:c>
      <x:c r="C19" s="25" t="n">
        <x:v>9</x:v>
      </x:c>
      <x:c r="D19" s="25" t="n">
        <x:v>20</x:v>
      </x:c>
      <x:c r="E19" s="24" t="n">
        <x:f>(C19+D19)/2</x:f>
        <x:v>14.5</x:v>
      </x:c>
      <x:c r="F19" s="40" t="str">
        <x:v>Цирцея: урон; оба: мана</x:v>
      </x:c>
      <x:c r="G19" s="24" t="n">
        <x:f>('Герои'!$D$6+C19)/'Герои'!$E$6</x:f>
        <x:v>7</x:v>
      </x:c>
      <x:c r="H19" s="24" t="n">
        <x:f>('Герои'!$D$6+D19)/'Герои'!$E$6</x:f>
        <x:v>12.5</x:v>
      </x:c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8" customHeight="1">
      <x:c r="A22" s="28" t="str">
        <x:v>Слоты и ограничения</x:v>
      </x:c>
      <x:c r="B22" s="28"/>
      <x:c r="C22" s="28"/>
      <x:c r="D22" s="28"/>
      <x:c r="E22" s="28"/>
      <x:c r="F22" s="28"/>
      <x:c r="G22" s="28"/>
      <x:c r="H22" s="28"/>
    </x:row>
    <x:row r="23" ht="38" customHeight="1">
      <x:c r="A23" s="14" t="str">
        <x:v>Раздел</x:v>
      </x:c>
      <x:c r="B23" s="15" t="str">
        <x:v>Слоты</x:v>
      </x:c>
      <x:c r="C23" s="16" t="str">
        <x:v>Выпадение сейчас</x:v>
      </x:c>
      <x:c r="D23" s="2"/>
      <x:c r="E23" s="2"/>
      <x:c r="F23" s="2"/>
      <x:c r="G23" s="2"/>
      <x:c r="H23" s="2"/>
    </x:row>
    <x:row r="24" ht="42" customHeight="1">
      <x:c r="A24" s="18" t="str">
        <x:v>Броня</x:v>
      </x:c>
      <x:c r="B24" s="18" t="n">
        <x:v>6</x:v>
      </x:c>
      <x:c r="C24" s="29" t="str">
        <x:v>По одной части</x:v>
      </x:c>
      <x:c r="D24" s="2"/>
      <x:c r="E24" s="2"/>
      <x:c r="F24" s="2"/>
      <x:c r="G24" s="2"/>
      <x:c r="H24" s="2"/>
    </x:row>
    <x:row r="25" ht="42" customHeight="1">
      <x:c r="A25" s="20" t="str">
        <x:v>Оружие</x:v>
      </x:c>
      <x:c r="B25" s="20" t="n">
        <x:v>1</x:v>
      </x:c>
      <x:c r="C25" s="31" t="str">
        <x:v>Меч / посох / кинжал</x:v>
      </x:c>
      <x:c r="D25" s="2"/>
      <x:c r="E25" s="2"/>
      <x:c r="F25" s="2"/>
      <x:c r="G25" s="2"/>
      <x:c r="H25" s="2"/>
    </x:row>
    <x:row r="26" ht="42" customHeight="1">
      <x:c r="A26" s="18" t="str">
        <x:v>Артефакты</x:v>
      </x:c>
      <x:c r="B26" s="18" t="n">
        <x:v>1</x:v>
      </x:c>
      <x:c r="C26" s="29" t="str">
        <x:v>Три типа</x:v>
      </x:c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32" t="str">
        <x:v>Броня: шлем, броня, перчатки, пояс, штаны, сапоги. Артефакт: один отдельный слот.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32" t="str">
        <x:v>Артефакты не имеют редкости. При выпадении один из трёх выбирается равновероятно.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32" t="str">
        <x:v>Урон меча и посоха — целое число в указанных границах. Кинжал даёт критический шанс и частоту атак.</x:v>
      </x:c>
      <x:c r="B31" s="2"/>
      <x:c r="C31" s="2"/>
      <x:c r="D31" s="2"/>
      <x:c r="E31" s="2"/>
      <x:c r="F31" s="2"/>
      <x:c r="G31" s="2"/>
      <x:c r="H31" s="2"/>
    </x:row>
    <x:row r="32" ht="24" customHeight="1">
      <x:c r="A32" s="32" t="str">
        <x:v>После выбора редкости: 50% оружие / 50% броня, затем равные шансы типа и части. Полный комплект не выпадает.</x:v>
      </x:c>
      <x:c r="B32" s="2"/>
      <x:c r="C32" s="2"/>
      <x:c r="D32" s="2"/>
      <x:c r="E32" s="2"/>
      <x:c r="F32" s="2"/>
      <x:c r="G32" s="2"/>
      <x:c r="H32" s="2"/>
    </x:row>
    <x:row r="33" ht="24" customHeight="1">
      <x:c r="A33" s="32" t="str">
        <x:v>Добыча хранится локально. Подключение NFT и Starknet относится к следующему этапу проекта.</x:v>
      </x:c>
      <x:c r="B33" s="2"/>
      <x:c r="C33" s="2"/>
      <x:c r="D33" s="2"/>
      <x:c r="E33" s="2"/>
      <x:c r="F33" s="2"/>
      <x:c r="G33" s="2"/>
      <x:c r="H33" s="2"/>
    </x:row>
    <x:row r="34" ht="26" customHeight="1">
      <x:c r="A34" s="32" t="str">
        <x:v>При первом входе: по шести Common-частей кольчуги и шёлка, меч и посох. В общей сумке, без автоматического надевания.</x:v>
      </x:c>
      <x:c r="B34" s="2"/>
      <x:c r="C34" s="2"/>
      <x:c r="D34" s="2"/>
      <x:c r="E34" s="2"/>
      <x:c r="F34" s="2"/>
      <x:c r="G34" s="2"/>
      <x:c r="H34" s="2"/>
    </x:row>
    <x:row r="35" ht="26" customHeight="1">
      <x:c r="A35" s="32" t="str">
        <x:v>Сохранённая броня получает актуальные бонусы частей; ID, редкость и экипировка сохраняются. Уже полученное оружие не удаляется.</x:v>
      </x:c>
      <x:c r="B35" s="2"/>
      <x:c r="C35" s="2"/>
      <x:c r="D35" s="2"/>
      <x:c r="E35" s="2"/>
      <x:c r="F35" s="2"/>
      <x:c r="G35" s="2"/>
      <x:c r="H35" s="2"/>
    </x:row>
    <x:row r="36" ht="26" customHeight="1">
      <x:c r="A36" s="32" t="str">
        <x:v>Диапазон урона и DPS посоха относятся к Цирцее. Ахилл получает от посоха только эффекты маны, без прибавки урона.</x:v>
      </x:c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14F4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3.1299991607666" hidden="0" customWidth="1"/>
    <x:col min="2" max="2" width="17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5" hidden="0" customWidth="1"/>
    <x:col min="8" max="8" width="16.25" hidden="0" customWidth="1"/>
    <x:col min="9" max="9" width="31.25" hidden="0" customWidth="1"/>
  </x:cols>
  <x:sheetData>
    <x:row r="1" ht="36" customHeight="1">
      <x:c r="A1" s="3" t="str">
        <x:v>Экипировка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6" customHeight="1">
      <x:c r="A3" s="32" t="str">
        <x:v>Светло-золотые ячейки — параметры брони и оружия. Светло-зелёные — расчёт бонусов по части и редкости.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6" customHeight="1">
      <x:c r="A5" s="180" t="str">
        <x:v>Материал</x:v>
      </x:c>
      <x:c r="B5" s="181" t="str">
        <x:v>Часть</x:v>
      </x:c>
      <x:c r="C5" s="181" t="str">
        <x:v>Редкость</x:v>
      </x:c>
      <x:c r="D5" s="181" t="str">
        <x:v>Физ. броня</x:v>
      </x:c>
      <x:c r="E5" s="181" t="str">
        <x:v>Уклонение</x:v>
      </x:c>
      <x:c r="F5" s="181" t="str">
        <x:v>Мана +</x:v>
      </x:c>
      <x:c r="G5" s="181" t="str">
        <x:v>Мана / с +</x:v>
      </x:c>
      <x:c r="H5" s="181" t="str">
        <x:v>Скорость Ахилла</x:v>
      </x:c>
      <x:c r="I5" s="182" t="str">
        <x:v>Кому подходит</x:v>
      </x:c>
    </x:row>
    <x:row r="6" ht="38" customHeight="1">
      <x:c r="A6" s="184" t="str">
        <x:v>Кольчуга</x:v>
      </x:c>
      <x:c r="B6" s="184" t="str">
        <x:v>Шлем</x:v>
      </x:c>
      <x:c r="C6" s="184" t="str">
        <x:v>Common</x:v>
      </x:c>
      <x:c r="D6" s="240" t="n">
        <x:f>$B$80*SUMIF($A$86:$A$91,B6,$B$86:$B$91)*SUMIF($D$86:$D$88,C6,$E$86:$E$88)</x:f>
        <x:v>0.045</x:v>
      </x:c>
      <x:c r="E6" s="240" t="n">
        <x:f>$C$80*SUMIF($A$86:$A$91,B6,$B$86:$B$91)*SUMIF($D$86:$D$88,C6,$E$86:$E$88)</x:f>
        <x:v>0</x:v>
      </x:c>
      <x:c r="F6" s="241" t="n">
        <x:f>$D$80*SUMIF($A$86:$A$91,B6,$B$86:$B$91)*SUMIF($D$86:$D$88,C6,$E$86:$E$88)</x:f>
        <x:v>0</x:v>
      </x:c>
      <x:c r="G6" s="209" t="n">
        <x:f>$E$80*SUMIF($A$86:$A$91,B6,$B$86:$B$91)*SUMIF($D$86:$D$88,C6,$E$86:$E$88)</x:f>
        <x:v>0</x:v>
      </x:c>
      <x:c r="H6" s="210" t="n">
        <x:f>1-$F$80*SUMIF($A$86:$A$91,B6,$B$86:$B$91)</x:f>
        <x:v>0.97</x:v>
      </x:c>
      <x:c r="I6" s="199" t="str">
        <x:v>Ахилл; Цирцея со штрафом</x:v>
      </x:c>
    </x:row>
    <x:row r="7" ht="38" customHeight="1">
      <x:c r="A7" s="187" t="str">
        <x:v>Кольчуга</x:v>
      </x:c>
      <x:c r="B7" s="187" t="str">
        <x:v>Броня</x:v>
      </x:c>
      <x:c r="C7" s="187" t="str">
        <x:v>Common</x:v>
      </x:c>
      <x:c r="D7" s="240" t="n">
        <x:f>$B$80*SUMIF($A$86:$A$91,B7,$B$86:$B$91)*SUMIF($D$86:$D$88,C7,$E$86:$E$88)</x:f>
        <x:v>0.105</x:v>
      </x:c>
      <x:c r="E7" s="240" t="n">
        <x:f>$C$80*SUMIF($A$86:$A$91,B7,$B$86:$B$91)*SUMIF($D$86:$D$88,C7,$E$86:$E$88)</x:f>
        <x:v>0</x:v>
      </x:c>
      <x:c r="F7" s="241" t="n">
        <x:f>$D$80*SUMIF($A$86:$A$91,B7,$B$86:$B$91)*SUMIF($D$86:$D$88,C7,$E$86:$E$88)</x:f>
        <x:v>0</x:v>
      </x:c>
      <x:c r="G7" s="209" t="n">
        <x:f>$E$80*SUMIF($A$86:$A$91,B7,$B$86:$B$91)*SUMIF($D$86:$D$88,C7,$E$86:$E$88)</x:f>
        <x:v>0</x:v>
      </x:c>
      <x:c r="H7" s="210" t="n">
        <x:f>1-$F$80*SUMIF($A$86:$A$91,B7,$B$86:$B$91)</x:f>
        <x:v>0.93</x:v>
      </x:c>
      <x:c r="I7" s="200" t="str">
        <x:v>Ахилл; Цирцея со штрафом</x:v>
      </x:c>
    </x:row>
    <x:row r="8" ht="38" customHeight="1">
      <x:c r="A8" s="184" t="str">
        <x:v>Кольчуга</x:v>
      </x:c>
      <x:c r="B8" s="184" t="str">
        <x:v>Перчатки</x:v>
      </x:c>
      <x:c r="C8" s="184" t="str">
        <x:v>Common</x:v>
      </x:c>
      <x:c r="D8" s="240" t="n">
        <x:f>$B$80*SUMIF($A$86:$A$91,B8,$B$86:$B$91)*SUMIF($D$86:$D$88,C8,$E$86:$E$88)</x:f>
        <x:v>0.03</x:v>
      </x:c>
      <x:c r="E8" s="240" t="n">
        <x:f>$C$80*SUMIF($A$86:$A$91,B8,$B$86:$B$91)*SUMIF($D$86:$D$88,C8,$E$86:$E$88)</x:f>
        <x:v>0</x:v>
      </x:c>
      <x:c r="F8" s="241" t="n">
        <x:f>$D$80*SUMIF($A$86:$A$91,B8,$B$86:$B$91)*SUMIF($D$86:$D$88,C8,$E$86:$E$88)</x:f>
        <x:v>0</x:v>
      </x:c>
      <x:c r="G8" s="209" t="n">
        <x:f>$E$80*SUMIF($A$86:$A$91,B8,$B$86:$B$91)*SUMIF($D$86:$D$88,C8,$E$86:$E$88)</x:f>
        <x:v>0</x:v>
      </x:c>
      <x:c r="H8" s="210" t="n">
        <x:f>1-$F$80*SUMIF($A$86:$A$91,B8,$B$86:$B$91)</x:f>
        <x:v>0.98</x:v>
      </x:c>
      <x:c r="I8" s="199" t="str">
        <x:v>Ахилл; Цирцея со штрафом</x:v>
      </x:c>
    </x:row>
    <x:row r="9" ht="38" customHeight="1">
      <x:c r="A9" s="187" t="str">
        <x:v>Кольчуга</x:v>
      </x:c>
      <x:c r="B9" s="187" t="str">
        <x:v>Пояс</x:v>
      </x:c>
      <x:c r="C9" s="187" t="str">
        <x:v>Common</x:v>
      </x:c>
      <x:c r="D9" s="240" t="n">
        <x:f>$B$80*SUMIF($A$86:$A$91,B9,$B$86:$B$91)*SUMIF($D$86:$D$88,C9,$E$86:$E$88)</x:f>
        <x:v>0.015</x:v>
      </x:c>
      <x:c r="E9" s="240" t="n">
        <x:f>$C$80*SUMIF($A$86:$A$91,B9,$B$86:$B$91)*SUMIF($D$86:$D$88,C9,$E$86:$E$88)</x:f>
        <x:v>0</x:v>
      </x:c>
      <x:c r="F9" s="241" t="n">
        <x:f>$D$80*SUMIF($A$86:$A$91,B9,$B$86:$B$91)*SUMIF($D$86:$D$88,C9,$E$86:$E$88)</x:f>
        <x:v>0</x:v>
      </x:c>
      <x:c r="G9" s="209" t="n">
        <x:f>$E$80*SUMIF($A$86:$A$91,B9,$B$86:$B$91)*SUMIF($D$86:$D$88,C9,$E$86:$E$88)</x:f>
        <x:v>0</x:v>
      </x:c>
      <x:c r="H9" s="210" t="n">
        <x:f>1-$F$80*SUMIF($A$86:$A$91,B9,$B$86:$B$91)</x:f>
        <x:v>0.99</x:v>
      </x:c>
      <x:c r="I9" s="200" t="str">
        <x:v>Ахилл; Цирцея со штрафом</x:v>
      </x:c>
    </x:row>
    <x:row r="10" ht="38" customHeight="1">
      <x:c r="A10" s="184" t="str">
        <x:v>Кольчуга</x:v>
      </x:c>
      <x:c r="B10" s="184" t="str">
        <x:v>Штаны</x:v>
      </x:c>
      <x:c r="C10" s="184" t="str">
        <x:v>Common</x:v>
      </x:c>
      <x:c r="D10" s="240" t="n">
        <x:f>$B$80*SUMIF($A$86:$A$91,B10,$B$86:$B$91)*SUMIF($D$86:$D$88,C10,$E$86:$E$88)</x:f>
        <x:v>0.06</x:v>
      </x:c>
      <x:c r="E10" s="240" t="n">
        <x:f>$C$80*SUMIF($A$86:$A$91,B10,$B$86:$B$91)*SUMIF($D$86:$D$88,C10,$E$86:$E$88)</x:f>
        <x:v>0</x:v>
      </x:c>
      <x:c r="F10" s="241" t="n">
        <x:f>$D$80*SUMIF($A$86:$A$91,B10,$B$86:$B$91)*SUMIF($D$86:$D$88,C10,$E$86:$E$88)</x:f>
        <x:v>0</x:v>
      </x:c>
      <x:c r="G10" s="209" t="n">
        <x:f>$E$80*SUMIF($A$86:$A$91,B10,$B$86:$B$91)*SUMIF($D$86:$D$88,C10,$E$86:$E$88)</x:f>
        <x:v>0</x:v>
      </x:c>
      <x:c r="H10" s="210" t="n">
        <x:f>1-$F$80*SUMIF($A$86:$A$91,B10,$B$86:$B$91)</x:f>
        <x:v>0.96</x:v>
      </x:c>
      <x:c r="I10" s="199" t="str">
        <x:v>Ахилл; Цирцея со штрафом</x:v>
      </x:c>
    </x:row>
    <x:row r="11" ht="38" customHeight="1">
      <x:c r="A11" s="187" t="str">
        <x:v>Кольчуга</x:v>
      </x:c>
      <x:c r="B11" s="187" t="str">
        <x:v>Сапоги</x:v>
      </x:c>
      <x:c r="C11" s="187" t="str">
        <x:v>Common</x:v>
      </x:c>
      <x:c r="D11" s="240" t="n">
        <x:f>$B$80*SUMIF($A$86:$A$91,B11,$B$86:$B$91)*SUMIF($D$86:$D$88,C11,$E$86:$E$88)</x:f>
        <x:v>0.045</x:v>
      </x:c>
      <x:c r="E11" s="240" t="n">
        <x:f>$C$80*SUMIF($A$86:$A$91,B11,$B$86:$B$91)*SUMIF($D$86:$D$88,C11,$E$86:$E$88)</x:f>
        <x:v>0</x:v>
      </x:c>
      <x:c r="F11" s="241" t="n">
        <x:f>$D$80*SUMIF($A$86:$A$91,B11,$B$86:$B$91)*SUMIF($D$86:$D$88,C11,$E$86:$E$88)</x:f>
        <x:v>0</x:v>
      </x:c>
      <x:c r="G11" s="209" t="n">
        <x:f>$E$80*SUMIF($A$86:$A$91,B11,$B$86:$B$91)*SUMIF($D$86:$D$88,C11,$E$86:$E$88)</x:f>
        <x:v>0</x:v>
      </x:c>
      <x:c r="H11" s="210" t="n">
        <x:f>1-$F$80*SUMIF($A$86:$A$91,B11,$B$86:$B$91)</x:f>
        <x:v>0.97</x:v>
      </x:c>
      <x:c r="I11" s="200" t="str">
        <x:v>Ахилл; Цирцея со штрафом</x:v>
      </x:c>
    </x:row>
    <x:row r="12" ht="38" customHeight="1">
      <x:c r="A12" s="184" t="str">
        <x:v>Кольчуга</x:v>
      </x:c>
      <x:c r="B12" s="184" t="str">
        <x:v>Шлем</x:v>
      </x:c>
      <x:c r="C12" s="184" t="str">
        <x:v>Rare</x:v>
      </x:c>
      <x:c r="D12" s="240" t="n">
        <x:f>$B$80*SUMIF($A$86:$A$91,B12,$B$86:$B$91)*SUMIF($D$86:$D$88,C12,$E$86:$E$88)</x:f>
        <x:v>0.0675</x:v>
      </x:c>
      <x:c r="E12" s="240" t="n">
        <x:f>$C$80*SUMIF($A$86:$A$91,B12,$B$86:$B$91)*SUMIF($D$86:$D$88,C12,$E$86:$E$88)</x:f>
        <x:v>0</x:v>
      </x:c>
      <x:c r="F12" s="241" t="n">
        <x:f>$D$80*SUMIF($A$86:$A$91,B12,$B$86:$B$91)*SUMIF($D$86:$D$88,C12,$E$86:$E$88)</x:f>
        <x:v>0</x:v>
      </x:c>
      <x:c r="G12" s="209" t="n">
        <x:f>$E$80*SUMIF($A$86:$A$91,B12,$B$86:$B$91)*SUMIF($D$86:$D$88,C12,$E$86:$E$88)</x:f>
        <x:v>0</x:v>
      </x:c>
      <x:c r="H12" s="210" t="n">
        <x:f>1-$F$80*SUMIF($A$86:$A$91,B12,$B$86:$B$91)</x:f>
        <x:v>0.97</x:v>
      </x:c>
      <x:c r="I12" s="199" t="str">
        <x:v>Ахилл; Цирцея со штрафом</x:v>
      </x:c>
    </x:row>
    <x:row r="13" ht="38" customHeight="1">
      <x:c r="A13" s="187" t="str">
        <x:v>Кольчуга</x:v>
      </x:c>
      <x:c r="B13" s="187" t="str">
        <x:v>Броня</x:v>
      </x:c>
      <x:c r="C13" s="187" t="str">
        <x:v>Rare</x:v>
      </x:c>
      <x:c r="D13" s="240" t="n">
        <x:f>$B$80*SUMIF($A$86:$A$91,B13,$B$86:$B$91)*SUMIF($D$86:$D$88,C13,$E$86:$E$88)</x:f>
        <x:v>0.1575</x:v>
      </x:c>
      <x:c r="E13" s="240" t="n">
        <x:f>$C$80*SUMIF($A$86:$A$91,B13,$B$86:$B$91)*SUMIF($D$86:$D$88,C13,$E$86:$E$88)</x:f>
        <x:v>0</x:v>
      </x:c>
      <x:c r="F13" s="241" t="n">
        <x:f>$D$80*SUMIF($A$86:$A$91,B13,$B$86:$B$91)*SUMIF($D$86:$D$88,C13,$E$86:$E$88)</x:f>
        <x:v>0</x:v>
      </x:c>
      <x:c r="G13" s="209" t="n">
        <x:f>$E$80*SUMIF($A$86:$A$91,B13,$B$86:$B$91)*SUMIF($D$86:$D$88,C13,$E$86:$E$88)</x:f>
        <x:v>0</x:v>
      </x:c>
      <x:c r="H13" s="210" t="n">
        <x:f>1-$F$80*SUMIF($A$86:$A$91,B13,$B$86:$B$91)</x:f>
        <x:v>0.93</x:v>
      </x:c>
      <x:c r="I13" s="200" t="str">
        <x:v>Ахилл; Цирцея со штрафом</x:v>
      </x:c>
    </x:row>
    <x:row r="14" ht="38" customHeight="1">
      <x:c r="A14" s="184" t="str">
        <x:v>Кольчуга</x:v>
      </x:c>
      <x:c r="B14" s="184" t="str">
        <x:v>Перчатки</x:v>
      </x:c>
      <x:c r="C14" s="184" t="str">
        <x:v>Rare</x:v>
      </x:c>
      <x:c r="D14" s="240" t="n">
        <x:f>$B$80*SUMIF($A$86:$A$91,B14,$B$86:$B$91)*SUMIF($D$86:$D$88,C14,$E$86:$E$88)</x:f>
        <x:v>0.045</x:v>
      </x:c>
      <x:c r="E14" s="240" t="n">
        <x:f>$C$80*SUMIF($A$86:$A$91,B14,$B$86:$B$91)*SUMIF($D$86:$D$88,C14,$E$86:$E$88)</x:f>
        <x:v>0</x:v>
      </x:c>
      <x:c r="F14" s="241" t="n">
        <x:f>$D$80*SUMIF($A$86:$A$91,B14,$B$86:$B$91)*SUMIF($D$86:$D$88,C14,$E$86:$E$88)</x:f>
        <x:v>0</x:v>
      </x:c>
      <x:c r="G14" s="209" t="n">
        <x:f>$E$80*SUMIF($A$86:$A$91,B14,$B$86:$B$91)*SUMIF($D$86:$D$88,C14,$E$86:$E$88)</x:f>
        <x:v>0</x:v>
      </x:c>
      <x:c r="H14" s="210" t="n">
        <x:f>1-$F$80*SUMIF($A$86:$A$91,B14,$B$86:$B$91)</x:f>
        <x:v>0.98</x:v>
      </x:c>
      <x:c r="I14" s="199" t="str">
        <x:v>Ахилл; Цирцея со штрафом</x:v>
      </x:c>
    </x:row>
    <x:row r="15" ht="38" customHeight="1">
      <x:c r="A15" s="187" t="str">
        <x:v>Кольчуга</x:v>
      </x:c>
      <x:c r="B15" s="187" t="str">
        <x:v>Пояс</x:v>
      </x:c>
      <x:c r="C15" s="187" t="str">
        <x:v>Rare</x:v>
      </x:c>
      <x:c r="D15" s="240" t="n">
        <x:f>$B$80*SUMIF($A$86:$A$91,B15,$B$86:$B$91)*SUMIF($D$86:$D$88,C15,$E$86:$E$88)</x:f>
        <x:v>0.0225</x:v>
      </x:c>
      <x:c r="E15" s="240" t="n">
        <x:f>$C$80*SUMIF($A$86:$A$91,B15,$B$86:$B$91)*SUMIF($D$86:$D$88,C15,$E$86:$E$88)</x:f>
        <x:v>0</x:v>
      </x:c>
      <x:c r="F15" s="241" t="n">
        <x:f>$D$80*SUMIF($A$86:$A$91,B15,$B$86:$B$91)*SUMIF($D$86:$D$88,C15,$E$86:$E$88)</x:f>
        <x:v>0</x:v>
      </x:c>
      <x:c r="G15" s="209" t="n">
        <x:f>$E$80*SUMIF($A$86:$A$91,B15,$B$86:$B$91)*SUMIF($D$86:$D$88,C15,$E$86:$E$88)</x:f>
        <x:v>0</x:v>
      </x:c>
      <x:c r="H15" s="210" t="n">
        <x:f>1-$F$80*SUMIF($A$86:$A$91,B15,$B$86:$B$91)</x:f>
        <x:v>0.99</x:v>
      </x:c>
      <x:c r="I15" s="200" t="str">
        <x:v>Ахилл; Цирцея со штрафом</x:v>
      </x:c>
    </x:row>
    <x:row r="16" ht="38" customHeight="1">
      <x:c r="A16" s="184" t="str">
        <x:v>Кольчуга</x:v>
      </x:c>
      <x:c r="B16" s="184" t="str">
        <x:v>Штаны</x:v>
      </x:c>
      <x:c r="C16" s="184" t="str">
        <x:v>Rare</x:v>
      </x:c>
      <x:c r="D16" s="240" t="n">
        <x:f>$B$80*SUMIF($A$86:$A$91,B16,$B$86:$B$91)*SUMIF($D$86:$D$88,C16,$E$86:$E$88)</x:f>
        <x:v>0.09</x:v>
      </x:c>
      <x:c r="E16" s="240" t="n">
        <x:f>$C$80*SUMIF($A$86:$A$91,B16,$B$86:$B$91)*SUMIF($D$86:$D$88,C16,$E$86:$E$88)</x:f>
        <x:v>0</x:v>
      </x:c>
      <x:c r="F16" s="241" t="n">
        <x:f>$D$80*SUMIF($A$86:$A$91,B16,$B$86:$B$91)*SUMIF($D$86:$D$88,C16,$E$86:$E$88)</x:f>
        <x:v>0</x:v>
      </x:c>
      <x:c r="G16" s="209" t="n">
        <x:f>$E$80*SUMIF($A$86:$A$91,B16,$B$86:$B$91)*SUMIF($D$86:$D$88,C16,$E$86:$E$88)</x:f>
        <x:v>0</x:v>
      </x:c>
      <x:c r="H16" s="210" t="n">
        <x:f>1-$F$80*SUMIF($A$86:$A$91,B16,$B$86:$B$91)</x:f>
        <x:v>0.96</x:v>
      </x:c>
      <x:c r="I16" s="199" t="str">
        <x:v>Ахилл; Цирцея со штрафом</x:v>
      </x:c>
    </x:row>
    <x:row r="17" ht="38" customHeight="1">
      <x:c r="A17" s="187" t="str">
        <x:v>Кольчуга</x:v>
      </x:c>
      <x:c r="B17" s="187" t="str">
        <x:v>Сапоги</x:v>
      </x:c>
      <x:c r="C17" s="187" t="str">
        <x:v>Rare</x:v>
      </x:c>
      <x:c r="D17" s="240" t="n">
        <x:f>$B$80*SUMIF($A$86:$A$91,B17,$B$86:$B$91)*SUMIF($D$86:$D$88,C17,$E$86:$E$88)</x:f>
        <x:v>0.0675</x:v>
      </x:c>
      <x:c r="E17" s="240" t="n">
        <x:f>$C$80*SUMIF($A$86:$A$91,B17,$B$86:$B$91)*SUMIF($D$86:$D$88,C17,$E$86:$E$88)</x:f>
        <x:v>0</x:v>
      </x:c>
      <x:c r="F17" s="241" t="n">
        <x:f>$D$80*SUMIF($A$86:$A$91,B17,$B$86:$B$91)*SUMIF($D$86:$D$88,C17,$E$86:$E$88)</x:f>
        <x:v>0</x:v>
      </x:c>
      <x:c r="G17" s="209" t="n">
        <x:f>$E$80*SUMIF($A$86:$A$91,B17,$B$86:$B$91)*SUMIF($D$86:$D$88,C17,$E$86:$E$88)</x:f>
        <x:v>0</x:v>
      </x:c>
      <x:c r="H17" s="210" t="n">
        <x:f>1-$F$80*SUMIF($A$86:$A$91,B17,$B$86:$B$91)</x:f>
        <x:v>0.97</x:v>
      </x:c>
      <x:c r="I17" s="200" t="str">
        <x:v>Ахилл; Цирцея со штрафом</x:v>
      </x:c>
    </x:row>
    <x:row r="18" ht="38" customHeight="1">
      <x:c r="A18" s="184" t="str">
        <x:v>Кольчуга</x:v>
      </x:c>
      <x:c r="B18" s="184" t="str">
        <x:v>Шлем</x:v>
      </x:c>
      <x:c r="C18" s="184" t="str">
        <x:v>Mystical</x:v>
      </x:c>
      <x:c r="D18" s="240" t="n">
        <x:f>$B$80*SUMIF($A$86:$A$91,B18,$B$86:$B$91)*SUMIF($D$86:$D$88,C18,$E$86:$E$88)</x:f>
        <x:v>0.09</x:v>
      </x:c>
      <x:c r="E18" s="240" t="n">
        <x:f>$C$80*SUMIF($A$86:$A$91,B18,$B$86:$B$91)*SUMIF($D$86:$D$88,C18,$E$86:$E$88)</x:f>
        <x:v>0</x:v>
      </x:c>
      <x:c r="F18" s="241" t="n">
        <x:f>$D$80*SUMIF($A$86:$A$91,B18,$B$86:$B$91)*SUMIF($D$86:$D$88,C18,$E$86:$E$88)</x:f>
        <x:v>0</x:v>
      </x:c>
      <x:c r="G18" s="209" t="n">
        <x:f>$E$80*SUMIF($A$86:$A$91,B18,$B$86:$B$91)*SUMIF($D$86:$D$88,C18,$E$86:$E$88)</x:f>
        <x:v>0</x:v>
      </x:c>
      <x:c r="H18" s="210" t="n">
        <x:f>1-$F$80*SUMIF($A$86:$A$91,B18,$B$86:$B$91)</x:f>
        <x:v>0.97</x:v>
      </x:c>
      <x:c r="I18" s="199" t="str">
        <x:v>Ахилл; Цирцея со штрафом</x:v>
      </x:c>
    </x:row>
    <x:row r="19" ht="38" customHeight="1">
      <x:c r="A19" s="187" t="str">
        <x:v>Кольчуга</x:v>
      </x:c>
      <x:c r="B19" s="187" t="str">
        <x:v>Броня</x:v>
      </x:c>
      <x:c r="C19" s="187" t="str">
        <x:v>Mystical</x:v>
      </x:c>
      <x:c r="D19" s="240" t="n">
        <x:f>$B$80*SUMIF($A$86:$A$91,B19,$B$86:$B$91)*SUMIF($D$86:$D$88,C19,$E$86:$E$88)</x:f>
        <x:v>0.21</x:v>
      </x:c>
      <x:c r="E19" s="240" t="n">
        <x:f>$C$80*SUMIF($A$86:$A$91,B19,$B$86:$B$91)*SUMIF($D$86:$D$88,C19,$E$86:$E$88)</x:f>
        <x:v>0</x:v>
      </x:c>
      <x:c r="F19" s="241" t="n">
        <x:f>$D$80*SUMIF($A$86:$A$91,B19,$B$86:$B$91)*SUMIF($D$86:$D$88,C19,$E$86:$E$88)</x:f>
        <x:v>0</x:v>
      </x:c>
      <x:c r="G19" s="209" t="n">
        <x:f>$E$80*SUMIF($A$86:$A$91,B19,$B$86:$B$91)*SUMIF($D$86:$D$88,C19,$E$86:$E$88)</x:f>
        <x:v>0</x:v>
      </x:c>
      <x:c r="H19" s="210" t="n">
        <x:f>1-$F$80*SUMIF($A$86:$A$91,B19,$B$86:$B$91)</x:f>
        <x:v>0.93</x:v>
      </x:c>
      <x:c r="I19" s="200" t="str">
        <x:v>Ахилл; Цирцея со штрафом</x:v>
      </x:c>
    </x:row>
    <x:row r="20" ht="38" customHeight="1">
      <x:c r="A20" s="184" t="str">
        <x:v>Кольчуга</x:v>
      </x:c>
      <x:c r="B20" s="184" t="str">
        <x:v>Перчатки</x:v>
      </x:c>
      <x:c r="C20" s="184" t="str">
        <x:v>Mystical</x:v>
      </x:c>
      <x:c r="D20" s="240" t="n">
        <x:f>$B$80*SUMIF($A$86:$A$91,B20,$B$86:$B$91)*SUMIF($D$86:$D$88,C20,$E$86:$E$88)</x:f>
        <x:v>0.06</x:v>
      </x:c>
      <x:c r="E20" s="240" t="n">
        <x:f>$C$80*SUMIF($A$86:$A$91,B20,$B$86:$B$91)*SUMIF($D$86:$D$88,C20,$E$86:$E$88)</x:f>
        <x:v>0</x:v>
      </x:c>
      <x:c r="F20" s="241" t="n">
        <x:f>$D$80*SUMIF($A$86:$A$91,B20,$B$86:$B$91)*SUMIF($D$86:$D$88,C20,$E$86:$E$88)</x:f>
        <x:v>0</x:v>
      </x:c>
      <x:c r="G20" s="209" t="n">
        <x:f>$E$80*SUMIF($A$86:$A$91,B20,$B$86:$B$91)*SUMIF($D$86:$D$88,C20,$E$86:$E$88)</x:f>
        <x:v>0</x:v>
      </x:c>
      <x:c r="H20" s="210" t="n">
        <x:f>1-$F$80*SUMIF($A$86:$A$91,B20,$B$86:$B$91)</x:f>
        <x:v>0.98</x:v>
      </x:c>
      <x:c r="I20" s="199" t="str">
        <x:v>Ахилл; Цирцея со штрафом</x:v>
      </x:c>
    </x:row>
    <x:row r="21" ht="38" customHeight="1">
      <x:c r="A21" s="187" t="str">
        <x:v>Кольчуга</x:v>
      </x:c>
      <x:c r="B21" s="187" t="str">
        <x:v>Пояс</x:v>
      </x:c>
      <x:c r="C21" s="187" t="str">
        <x:v>Mystical</x:v>
      </x:c>
      <x:c r="D21" s="240" t="n">
        <x:f>$B$80*SUMIF($A$86:$A$91,B21,$B$86:$B$91)*SUMIF($D$86:$D$88,C21,$E$86:$E$88)</x:f>
        <x:v>0.03</x:v>
      </x:c>
      <x:c r="E21" s="240" t="n">
        <x:f>$C$80*SUMIF($A$86:$A$91,B21,$B$86:$B$91)*SUMIF($D$86:$D$88,C21,$E$86:$E$88)</x:f>
        <x:v>0</x:v>
      </x:c>
      <x:c r="F21" s="241" t="n">
        <x:f>$D$80*SUMIF($A$86:$A$91,B21,$B$86:$B$91)*SUMIF($D$86:$D$88,C21,$E$86:$E$88)</x:f>
        <x:v>0</x:v>
      </x:c>
      <x:c r="G21" s="209" t="n">
        <x:f>$E$80*SUMIF($A$86:$A$91,B21,$B$86:$B$91)*SUMIF($D$86:$D$88,C21,$E$86:$E$88)</x:f>
        <x:v>0</x:v>
      </x:c>
      <x:c r="H21" s="210" t="n">
        <x:f>1-$F$80*SUMIF($A$86:$A$91,B21,$B$86:$B$91)</x:f>
        <x:v>0.99</x:v>
      </x:c>
      <x:c r="I21" s="200" t="str">
        <x:v>Ахилл; Цирцея со штрафом</x:v>
      </x:c>
    </x:row>
    <x:row r="22" ht="38" customHeight="1">
      <x:c r="A22" s="184" t="str">
        <x:v>Кольчуга</x:v>
      </x:c>
      <x:c r="B22" s="184" t="str">
        <x:v>Штаны</x:v>
      </x:c>
      <x:c r="C22" s="184" t="str">
        <x:v>Mystical</x:v>
      </x:c>
      <x:c r="D22" s="240" t="n">
        <x:f>$B$80*SUMIF($A$86:$A$91,B22,$B$86:$B$91)*SUMIF($D$86:$D$88,C22,$E$86:$E$88)</x:f>
        <x:v>0.12</x:v>
      </x:c>
      <x:c r="E22" s="240" t="n">
        <x:f>$C$80*SUMIF($A$86:$A$91,B22,$B$86:$B$91)*SUMIF($D$86:$D$88,C22,$E$86:$E$88)</x:f>
        <x:v>0</x:v>
      </x:c>
      <x:c r="F22" s="241" t="n">
        <x:f>$D$80*SUMIF($A$86:$A$91,B22,$B$86:$B$91)*SUMIF($D$86:$D$88,C22,$E$86:$E$88)</x:f>
        <x:v>0</x:v>
      </x:c>
      <x:c r="G22" s="209" t="n">
        <x:f>$E$80*SUMIF($A$86:$A$91,B22,$B$86:$B$91)*SUMIF($D$86:$D$88,C22,$E$86:$E$88)</x:f>
        <x:v>0</x:v>
      </x:c>
      <x:c r="H22" s="210" t="n">
        <x:f>1-$F$80*SUMIF($A$86:$A$91,B22,$B$86:$B$91)</x:f>
        <x:v>0.96</x:v>
      </x:c>
      <x:c r="I22" s="199" t="str">
        <x:v>Ахилл; Цирцея со штрафом</x:v>
      </x:c>
    </x:row>
    <x:row r="23" ht="38" customHeight="1">
      <x:c r="A23" s="187" t="str">
        <x:v>Кольчуга</x:v>
      </x:c>
      <x:c r="B23" s="187" t="str">
        <x:v>Сапоги</x:v>
      </x:c>
      <x:c r="C23" s="187" t="str">
        <x:v>Mystical</x:v>
      </x:c>
      <x:c r="D23" s="240" t="n">
        <x:f>$B$80*SUMIF($A$86:$A$91,B23,$B$86:$B$91)*SUMIF($D$86:$D$88,C23,$E$86:$E$88)</x:f>
        <x:v>0.09</x:v>
      </x:c>
      <x:c r="E23" s="240" t="n">
        <x:f>$C$80*SUMIF($A$86:$A$91,B23,$B$86:$B$91)*SUMIF($D$86:$D$88,C23,$E$86:$E$88)</x:f>
        <x:v>0</x:v>
      </x:c>
      <x:c r="F23" s="241" t="n">
        <x:f>$D$80*SUMIF($A$86:$A$91,B23,$B$86:$B$91)*SUMIF($D$86:$D$88,C23,$E$86:$E$88)</x:f>
        <x:v>0</x:v>
      </x:c>
      <x:c r="G23" s="209" t="n">
        <x:f>$E$80*SUMIF($A$86:$A$91,B23,$B$86:$B$91)*SUMIF($D$86:$D$88,C23,$E$86:$E$88)</x:f>
        <x:v>0</x:v>
      </x:c>
      <x:c r="H23" s="210" t="n">
        <x:f>1-$F$80*SUMIF($A$86:$A$91,B23,$B$86:$B$91)</x:f>
        <x:v>0.97</x:v>
      </x:c>
      <x:c r="I23" s="200" t="str">
        <x:v>Ахилл; Цирцея со штрафом</x:v>
      </x:c>
    </x:row>
    <x:row r="24" ht="38" customHeight="1">
      <x:c r="A24" s="184" t="str">
        <x:v>Кожа</x:v>
      </x:c>
      <x:c r="B24" s="184" t="str">
        <x:v>Шлем</x:v>
      </x:c>
      <x:c r="C24" s="184" t="str">
        <x:v>Common</x:v>
      </x:c>
      <x:c r="D24" s="240" t="n">
        <x:f>$B$81*SUMIF($A$86:$A$91,B24,$B$86:$B$91)*SUMIF($D$86:$D$88,C24,$E$86:$E$88)</x:f>
        <x:v>0.018</x:v>
      </x:c>
      <x:c r="E24" s="240" t="n">
        <x:f>$C$81*SUMIF($A$86:$A$91,B24,$B$86:$B$91)*SUMIF($D$86:$D$88,C24,$E$86:$E$88)</x:f>
        <x:v>0.012</x:v>
      </x:c>
      <x:c r="F24" s="241" t="n">
        <x:f>$D$81*SUMIF($A$86:$A$91,B24,$B$86:$B$91)*SUMIF($D$86:$D$88,C24,$E$86:$E$88)</x:f>
        <x:v>0</x:v>
      </x:c>
      <x:c r="G24" s="209" t="n">
        <x:f>$E$81*SUMIF($A$86:$A$91,B24,$B$86:$B$91)*SUMIF($D$86:$D$88,C24,$E$86:$E$88)</x:f>
        <x:v>0</x:v>
      </x:c>
      <x:c r="H24" s="210" t="n">
        <x:f>1-$F$81*SUMIF($A$86:$A$91,B24,$B$86:$B$91)</x:f>
        <x:v>1</x:v>
      </x:c>
      <x:c r="I24" s="199" t="str">
        <x:v>Оба героя</x:v>
      </x:c>
    </x:row>
    <x:row r="25" ht="38" customHeight="1">
      <x:c r="A25" s="187" t="str">
        <x:v>Кожа</x:v>
      </x:c>
      <x:c r="B25" s="187" t="str">
        <x:v>Броня</x:v>
      </x:c>
      <x:c r="C25" s="187" t="str">
        <x:v>Common</x:v>
      </x:c>
      <x:c r="D25" s="240" t="n">
        <x:f>$B$81*SUMIF($A$86:$A$91,B25,$B$86:$B$91)*SUMIF($D$86:$D$88,C25,$E$86:$E$88)</x:f>
        <x:v>0.041999999999999996</x:v>
      </x:c>
      <x:c r="E25" s="240" t="n">
        <x:f>$C$81*SUMIF($A$86:$A$91,B25,$B$86:$B$91)*SUMIF($D$86:$D$88,C25,$E$86:$E$88)</x:f>
        <x:v>0.027999999999999997</x:v>
      </x:c>
      <x:c r="F25" s="241" t="n">
        <x:f>$D$81*SUMIF($A$86:$A$91,B25,$B$86:$B$91)*SUMIF($D$86:$D$88,C25,$E$86:$E$88)</x:f>
        <x:v>0</x:v>
      </x:c>
      <x:c r="G25" s="209" t="n">
        <x:f>$E$81*SUMIF($A$86:$A$91,B25,$B$86:$B$91)*SUMIF($D$86:$D$88,C25,$E$86:$E$88)</x:f>
        <x:v>0</x:v>
      </x:c>
      <x:c r="H25" s="210" t="n">
        <x:f>1-$F$81*SUMIF($A$86:$A$91,B25,$B$86:$B$91)</x:f>
        <x:v>1</x:v>
      </x:c>
      <x:c r="I25" s="200" t="str">
        <x:v>Оба героя</x:v>
      </x:c>
    </x:row>
    <x:row r="26" ht="38" customHeight="1">
      <x:c r="A26" s="184" t="str">
        <x:v>Кожа</x:v>
      </x:c>
      <x:c r="B26" s="184" t="str">
        <x:v>Перчатки</x:v>
      </x:c>
      <x:c r="C26" s="184" t="str">
        <x:v>Common</x:v>
      </x:c>
      <x:c r="D26" s="240" t="n">
        <x:f>$B$81*SUMIF($A$86:$A$91,B26,$B$86:$B$91)*SUMIF($D$86:$D$88,C26,$E$86:$E$88)</x:f>
        <x:v>0.012</x:v>
      </x:c>
      <x:c r="E26" s="240" t="n">
        <x:f>$C$81*SUMIF($A$86:$A$91,B26,$B$86:$B$91)*SUMIF($D$86:$D$88,C26,$E$86:$E$88)</x:f>
        <x:v>0.008</x:v>
      </x:c>
      <x:c r="F26" s="241" t="n">
        <x:f>$D$81*SUMIF($A$86:$A$91,B26,$B$86:$B$91)*SUMIF($D$86:$D$88,C26,$E$86:$E$88)</x:f>
        <x:v>0</x:v>
      </x:c>
      <x:c r="G26" s="209" t="n">
        <x:f>$E$81*SUMIF($A$86:$A$91,B26,$B$86:$B$91)*SUMIF($D$86:$D$88,C26,$E$86:$E$88)</x:f>
        <x:v>0</x:v>
      </x:c>
      <x:c r="H26" s="210" t="n">
        <x:f>1-$F$81*SUMIF($A$86:$A$91,B26,$B$86:$B$91)</x:f>
        <x:v>1</x:v>
      </x:c>
      <x:c r="I26" s="199" t="str">
        <x:v>Оба героя</x:v>
      </x:c>
    </x:row>
    <x:row r="27" ht="38" customHeight="1">
      <x:c r="A27" s="187" t="str">
        <x:v>Кожа</x:v>
      </x:c>
      <x:c r="B27" s="187" t="str">
        <x:v>Пояс</x:v>
      </x:c>
      <x:c r="C27" s="187" t="str">
        <x:v>Common</x:v>
      </x:c>
      <x:c r="D27" s="240" t="n">
        <x:f>$B$81*SUMIF($A$86:$A$91,B27,$B$86:$B$91)*SUMIF($D$86:$D$88,C27,$E$86:$E$88)</x:f>
        <x:v>0.006</x:v>
      </x:c>
      <x:c r="E27" s="240" t="n">
        <x:f>$C$81*SUMIF($A$86:$A$91,B27,$B$86:$B$91)*SUMIF($D$86:$D$88,C27,$E$86:$E$88)</x:f>
        <x:v>0.004</x:v>
      </x:c>
      <x:c r="F27" s="241" t="n">
        <x:f>$D$81*SUMIF($A$86:$A$91,B27,$B$86:$B$91)*SUMIF($D$86:$D$88,C27,$E$86:$E$88)</x:f>
        <x:v>0</x:v>
      </x:c>
      <x:c r="G27" s="209" t="n">
        <x:f>$E$81*SUMIF($A$86:$A$91,B27,$B$86:$B$91)*SUMIF($D$86:$D$88,C27,$E$86:$E$88)</x:f>
        <x:v>0</x:v>
      </x:c>
      <x:c r="H27" s="210" t="n">
        <x:f>1-$F$81*SUMIF($A$86:$A$91,B27,$B$86:$B$91)</x:f>
        <x:v>1</x:v>
      </x:c>
      <x:c r="I27" s="200" t="str">
        <x:v>Оба героя</x:v>
      </x:c>
    </x:row>
    <x:row r="28" ht="38" customHeight="1">
      <x:c r="A28" s="184" t="str">
        <x:v>Кожа</x:v>
      </x:c>
      <x:c r="B28" s="184" t="str">
        <x:v>Штаны</x:v>
      </x:c>
      <x:c r="C28" s="184" t="str">
        <x:v>Common</x:v>
      </x:c>
      <x:c r="D28" s="240" t="n">
        <x:f>$B$81*SUMIF($A$86:$A$91,B28,$B$86:$B$91)*SUMIF($D$86:$D$88,C28,$E$86:$E$88)</x:f>
        <x:v>0.024</x:v>
      </x:c>
      <x:c r="E28" s="240" t="n">
        <x:f>$C$81*SUMIF($A$86:$A$91,B28,$B$86:$B$91)*SUMIF($D$86:$D$88,C28,$E$86:$E$88)</x:f>
        <x:v>0.016</x:v>
      </x:c>
      <x:c r="F28" s="241" t="n">
        <x:f>$D$81*SUMIF($A$86:$A$91,B28,$B$86:$B$91)*SUMIF($D$86:$D$88,C28,$E$86:$E$88)</x:f>
        <x:v>0</x:v>
      </x:c>
      <x:c r="G28" s="209" t="n">
        <x:f>$E$81*SUMIF($A$86:$A$91,B28,$B$86:$B$91)*SUMIF($D$86:$D$88,C28,$E$86:$E$88)</x:f>
        <x:v>0</x:v>
      </x:c>
      <x:c r="H28" s="210" t="n">
        <x:f>1-$F$81*SUMIF($A$86:$A$91,B28,$B$86:$B$91)</x:f>
        <x:v>1</x:v>
      </x:c>
      <x:c r="I28" s="199" t="str">
        <x:v>Оба героя</x:v>
      </x:c>
    </x:row>
    <x:row r="29" ht="38" customHeight="1">
      <x:c r="A29" s="187" t="str">
        <x:v>Кожа</x:v>
      </x:c>
      <x:c r="B29" s="187" t="str">
        <x:v>Сапоги</x:v>
      </x:c>
      <x:c r="C29" s="187" t="str">
        <x:v>Common</x:v>
      </x:c>
      <x:c r="D29" s="240" t="n">
        <x:f>$B$81*SUMIF($A$86:$A$91,B29,$B$86:$B$91)*SUMIF($D$86:$D$88,C29,$E$86:$E$88)</x:f>
        <x:v>0.018</x:v>
      </x:c>
      <x:c r="E29" s="240" t="n">
        <x:f>$C$81*SUMIF($A$86:$A$91,B29,$B$86:$B$91)*SUMIF($D$86:$D$88,C29,$E$86:$E$88)</x:f>
        <x:v>0.012</x:v>
      </x:c>
      <x:c r="F29" s="241" t="n">
        <x:f>$D$81*SUMIF($A$86:$A$91,B29,$B$86:$B$91)*SUMIF($D$86:$D$88,C29,$E$86:$E$88)</x:f>
        <x:v>0</x:v>
      </x:c>
      <x:c r="G29" s="209" t="n">
        <x:f>$E$81*SUMIF($A$86:$A$91,B29,$B$86:$B$91)*SUMIF($D$86:$D$88,C29,$E$86:$E$88)</x:f>
        <x:v>0</x:v>
      </x:c>
      <x:c r="H29" s="210" t="n">
        <x:f>1-$F$81*SUMIF($A$86:$A$91,B29,$B$86:$B$91)</x:f>
        <x:v>1</x:v>
      </x:c>
      <x:c r="I29" s="200" t="str">
        <x:v>Оба героя</x:v>
      </x:c>
    </x:row>
    <x:row r="30" ht="38" customHeight="1">
      <x:c r="A30" s="184" t="str">
        <x:v>Кожа</x:v>
      </x:c>
      <x:c r="B30" s="184" t="str">
        <x:v>Шлем</x:v>
      </x:c>
      <x:c r="C30" s="184" t="str">
        <x:v>Rare</x:v>
      </x:c>
      <x:c r="D30" s="240" t="n">
        <x:f>$B$81*SUMIF($A$86:$A$91,B30,$B$86:$B$91)*SUMIF($D$86:$D$88,C30,$E$86:$E$88)</x:f>
        <x:v>0.026999999999999996</x:v>
      </x:c>
      <x:c r="E30" s="240" t="n">
        <x:f>$C$81*SUMIF($A$86:$A$91,B30,$B$86:$B$91)*SUMIF($D$86:$D$88,C30,$E$86:$E$88)</x:f>
        <x:v>0.018000000000000002</x:v>
      </x:c>
      <x:c r="F30" s="241" t="n">
        <x:f>$D$81*SUMIF($A$86:$A$91,B30,$B$86:$B$91)*SUMIF($D$86:$D$88,C30,$E$86:$E$88)</x:f>
        <x:v>0</x:v>
      </x:c>
      <x:c r="G30" s="209" t="n">
        <x:f>$E$81*SUMIF($A$86:$A$91,B30,$B$86:$B$91)*SUMIF($D$86:$D$88,C30,$E$86:$E$88)</x:f>
        <x:v>0</x:v>
      </x:c>
      <x:c r="H30" s="210" t="n">
        <x:f>1-$F$81*SUMIF($A$86:$A$91,B30,$B$86:$B$91)</x:f>
        <x:v>1</x:v>
      </x:c>
      <x:c r="I30" s="199" t="str">
        <x:v>Оба героя</x:v>
      </x:c>
    </x:row>
    <x:row r="31" ht="38" customHeight="1">
      <x:c r="A31" s="187" t="str">
        <x:v>Кожа</x:v>
      </x:c>
      <x:c r="B31" s="187" t="str">
        <x:v>Броня</x:v>
      </x:c>
      <x:c r="C31" s="187" t="str">
        <x:v>Rare</x:v>
      </x:c>
      <x:c r="D31" s="240" t="n">
        <x:f>$B$81*SUMIF($A$86:$A$91,B31,$B$86:$B$91)*SUMIF($D$86:$D$88,C31,$E$86:$E$88)</x:f>
        <x:v>0.063</x:v>
      </x:c>
      <x:c r="E31" s="240" t="n">
        <x:f>$C$81*SUMIF($A$86:$A$91,B31,$B$86:$B$91)*SUMIF($D$86:$D$88,C31,$E$86:$E$88)</x:f>
        <x:v>0.041999999999999996</x:v>
      </x:c>
      <x:c r="F31" s="241" t="n">
        <x:f>$D$81*SUMIF($A$86:$A$91,B31,$B$86:$B$91)*SUMIF($D$86:$D$88,C31,$E$86:$E$88)</x:f>
        <x:v>0</x:v>
      </x:c>
      <x:c r="G31" s="209" t="n">
        <x:f>$E$81*SUMIF($A$86:$A$91,B31,$B$86:$B$91)*SUMIF($D$86:$D$88,C31,$E$86:$E$88)</x:f>
        <x:v>0</x:v>
      </x:c>
      <x:c r="H31" s="210" t="n">
        <x:f>1-$F$81*SUMIF($A$86:$A$91,B31,$B$86:$B$91)</x:f>
        <x:v>1</x:v>
      </x:c>
      <x:c r="I31" s="200" t="str">
        <x:v>Оба героя</x:v>
      </x:c>
    </x:row>
    <x:row r="32" ht="38" customHeight="1">
      <x:c r="A32" s="184" t="str">
        <x:v>Кожа</x:v>
      </x:c>
      <x:c r="B32" s="184" t="str">
        <x:v>Перчатки</x:v>
      </x:c>
      <x:c r="C32" s="184" t="str">
        <x:v>Rare</x:v>
      </x:c>
      <x:c r="D32" s="240" t="n">
        <x:f>$B$81*SUMIF($A$86:$A$91,B32,$B$86:$B$91)*SUMIF($D$86:$D$88,C32,$E$86:$E$88)</x:f>
        <x:v>0.018000000000000002</x:v>
      </x:c>
      <x:c r="E32" s="240" t="n">
        <x:f>$C$81*SUMIF($A$86:$A$91,B32,$B$86:$B$91)*SUMIF($D$86:$D$88,C32,$E$86:$E$88)</x:f>
        <x:v>0.012</x:v>
      </x:c>
      <x:c r="F32" s="241" t="n">
        <x:f>$D$81*SUMIF($A$86:$A$91,B32,$B$86:$B$91)*SUMIF($D$86:$D$88,C32,$E$86:$E$88)</x:f>
        <x:v>0</x:v>
      </x:c>
      <x:c r="G32" s="209" t="n">
        <x:f>$E$81*SUMIF($A$86:$A$91,B32,$B$86:$B$91)*SUMIF($D$86:$D$88,C32,$E$86:$E$88)</x:f>
        <x:v>0</x:v>
      </x:c>
      <x:c r="H32" s="210" t="n">
        <x:f>1-$F$81*SUMIF($A$86:$A$91,B32,$B$86:$B$91)</x:f>
        <x:v>1</x:v>
      </x:c>
      <x:c r="I32" s="199" t="str">
        <x:v>Оба героя</x:v>
      </x:c>
    </x:row>
    <x:row r="33" ht="38" customHeight="1">
      <x:c r="A33" s="187" t="str">
        <x:v>Кожа</x:v>
      </x:c>
      <x:c r="B33" s="187" t="str">
        <x:v>Пояс</x:v>
      </x:c>
      <x:c r="C33" s="187" t="str">
        <x:v>Rare</x:v>
      </x:c>
      <x:c r="D33" s="240" t="n">
        <x:f>$B$81*SUMIF($A$86:$A$91,B33,$B$86:$B$91)*SUMIF($D$86:$D$88,C33,$E$86:$E$88)</x:f>
        <x:v>0.009000000000000001</x:v>
      </x:c>
      <x:c r="E33" s="240" t="n">
        <x:f>$C$81*SUMIF($A$86:$A$91,B33,$B$86:$B$91)*SUMIF($D$86:$D$88,C33,$E$86:$E$88)</x:f>
        <x:v>0.006</x:v>
      </x:c>
      <x:c r="F33" s="241" t="n">
        <x:f>$D$81*SUMIF($A$86:$A$91,B33,$B$86:$B$91)*SUMIF($D$86:$D$88,C33,$E$86:$E$88)</x:f>
        <x:v>0</x:v>
      </x:c>
      <x:c r="G33" s="209" t="n">
        <x:f>$E$81*SUMIF($A$86:$A$91,B33,$B$86:$B$91)*SUMIF($D$86:$D$88,C33,$E$86:$E$88)</x:f>
        <x:v>0</x:v>
      </x:c>
      <x:c r="H33" s="210" t="n">
        <x:f>1-$F$81*SUMIF($A$86:$A$91,B33,$B$86:$B$91)</x:f>
        <x:v>1</x:v>
      </x:c>
      <x:c r="I33" s="200" t="str">
        <x:v>Оба героя</x:v>
      </x:c>
    </x:row>
    <x:row r="34" ht="38" customHeight="1">
      <x:c r="A34" s="184" t="str">
        <x:v>Кожа</x:v>
      </x:c>
      <x:c r="B34" s="184" t="str">
        <x:v>Штаны</x:v>
      </x:c>
      <x:c r="C34" s="184" t="str">
        <x:v>Rare</x:v>
      </x:c>
      <x:c r="D34" s="240" t="n">
        <x:f>$B$81*SUMIF($A$86:$A$91,B34,$B$86:$B$91)*SUMIF($D$86:$D$88,C34,$E$86:$E$88)</x:f>
        <x:v>0.036000000000000004</x:v>
      </x:c>
      <x:c r="E34" s="240" t="n">
        <x:f>$C$81*SUMIF($A$86:$A$91,B34,$B$86:$B$91)*SUMIF($D$86:$D$88,C34,$E$86:$E$88)</x:f>
        <x:v>0.024</x:v>
      </x:c>
      <x:c r="F34" s="241" t="n">
        <x:f>$D$81*SUMIF($A$86:$A$91,B34,$B$86:$B$91)*SUMIF($D$86:$D$88,C34,$E$86:$E$88)</x:f>
        <x:v>0</x:v>
      </x:c>
      <x:c r="G34" s="209" t="n">
        <x:f>$E$81*SUMIF($A$86:$A$91,B34,$B$86:$B$91)*SUMIF($D$86:$D$88,C34,$E$86:$E$88)</x:f>
        <x:v>0</x:v>
      </x:c>
      <x:c r="H34" s="210" t="n">
        <x:f>1-$F$81*SUMIF($A$86:$A$91,B34,$B$86:$B$91)</x:f>
        <x:v>1</x:v>
      </x:c>
      <x:c r="I34" s="199" t="str">
        <x:v>Оба героя</x:v>
      </x:c>
    </x:row>
    <x:row r="35" ht="38" customHeight="1">
      <x:c r="A35" s="187" t="str">
        <x:v>Кожа</x:v>
      </x:c>
      <x:c r="B35" s="187" t="str">
        <x:v>Сапоги</x:v>
      </x:c>
      <x:c r="C35" s="187" t="str">
        <x:v>Rare</x:v>
      </x:c>
      <x:c r="D35" s="240" t="n">
        <x:f>$B$81*SUMIF($A$86:$A$91,B35,$B$86:$B$91)*SUMIF($D$86:$D$88,C35,$E$86:$E$88)</x:f>
        <x:v>0.026999999999999996</x:v>
      </x:c>
      <x:c r="E35" s="240" t="n">
        <x:f>$C$81*SUMIF($A$86:$A$91,B35,$B$86:$B$91)*SUMIF($D$86:$D$88,C35,$E$86:$E$88)</x:f>
        <x:v>0.018000000000000002</x:v>
      </x:c>
      <x:c r="F35" s="241" t="n">
        <x:f>$D$81*SUMIF($A$86:$A$91,B35,$B$86:$B$91)*SUMIF($D$86:$D$88,C35,$E$86:$E$88)</x:f>
        <x:v>0</x:v>
      </x:c>
      <x:c r="G35" s="209" t="n">
        <x:f>$E$81*SUMIF($A$86:$A$91,B35,$B$86:$B$91)*SUMIF($D$86:$D$88,C35,$E$86:$E$88)</x:f>
        <x:v>0</x:v>
      </x:c>
      <x:c r="H35" s="210" t="n">
        <x:f>1-$F$81*SUMIF($A$86:$A$91,B35,$B$86:$B$91)</x:f>
        <x:v>1</x:v>
      </x:c>
      <x:c r="I35" s="200" t="str">
        <x:v>Оба героя</x:v>
      </x:c>
    </x:row>
    <x:row r="36" ht="38" customHeight="1">
      <x:c r="A36" s="184" t="str">
        <x:v>Кожа</x:v>
      </x:c>
      <x:c r="B36" s="184" t="str">
        <x:v>Шлем</x:v>
      </x:c>
      <x:c r="C36" s="184" t="str">
        <x:v>Mystical</x:v>
      </x:c>
      <x:c r="D36" s="240" t="n">
        <x:f>$B$81*SUMIF($A$86:$A$91,B36,$B$86:$B$91)*SUMIF($D$86:$D$88,C36,$E$86:$E$88)</x:f>
        <x:v>0.036</x:v>
      </x:c>
      <x:c r="E36" s="240" t="n">
        <x:f>$C$81*SUMIF($A$86:$A$91,B36,$B$86:$B$91)*SUMIF($D$86:$D$88,C36,$E$86:$E$88)</x:f>
        <x:v>0.024</x:v>
      </x:c>
      <x:c r="F36" s="241" t="n">
        <x:f>$D$81*SUMIF($A$86:$A$91,B36,$B$86:$B$91)*SUMIF($D$86:$D$88,C36,$E$86:$E$88)</x:f>
        <x:v>0</x:v>
      </x:c>
      <x:c r="G36" s="209" t="n">
        <x:f>$E$81*SUMIF($A$86:$A$91,B36,$B$86:$B$91)*SUMIF($D$86:$D$88,C36,$E$86:$E$88)</x:f>
        <x:v>0</x:v>
      </x:c>
      <x:c r="H36" s="210" t="n">
        <x:f>1-$F$81*SUMIF($A$86:$A$91,B36,$B$86:$B$91)</x:f>
        <x:v>1</x:v>
      </x:c>
      <x:c r="I36" s="199" t="str">
        <x:v>Оба героя</x:v>
      </x:c>
    </x:row>
    <x:row r="37" ht="38" customHeight="1">
      <x:c r="A37" s="187" t="str">
        <x:v>Кожа</x:v>
      </x:c>
      <x:c r="B37" s="187" t="str">
        <x:v>Броня</x:v>
      </x:c>
      <x:c r="C37" s="187" t="str">
        <x:v>Mystical</x:v>
      </x:c>
      <x:c r="D37" s="240" t="n">
        <x:f>$B$81*SUMIF($A$86:$A$91,B37,$B$86:$B$91)*SUMIF($D$86:$D$88,C37,$E$86:$E$88)</x:f>
        <x:v>0.08399999999999999</x:v>
      </x:c>
      <x:c r="E37" s="240" t="n">
        <x:f>$C$81*SUMIF($A$86:$A$91,B37,$B$86:$B$91)*SUMIF($D$86:$D$88,C37,$E$86:$E$88)</x:f>
        <x:v>0.055999999999999994</x:v>
      </x:c>
      <x:c r="F37" s="241" t="n">
        <x:f>$D$81*SUMIF($A$86:$A$91,B37,$B$86:$B$91)*SUMIF($D$86:$D$88,C37,$E$86:$E$88)</x:f>
        <x:v>0</x:v>
      </x:c>
      <x:c r="G37" s="209" t="n">
        <x:f>$E$81*SUMIF($A$86:$A$91,B37,$B$86:$B$91)*SUMIF($D$86:$D$88,C37,$E$86:$E$88)</x:f>
        <x:v>0</x:v>
      </x:c>
      <x:c r="H37" s="210" t="n">
        <x:f>1-$F$81*SUMIF($A$86:$A$91,B37,$B$86:$B$91)</x:f>
        <x:v>1</x:v>
      </x:c>
      <x:c r="I37" s="200" t="str">
        <x:v>Оба героя</x:v>
      </x:c>
    </x:row>
    <x:row r="38" ht="38" customHeight="1">
      <x:c r="A38" s="184" t="str">
        <x:v>Кожа</x:v>
      </x:c>
      <x:c r="B38" s="184" t="str">
        <x:v>Перчатки</x:v>
      </x:c>
      <x:c r="C38" s="184" t="str">
        <x:v>Mystical</x:v>
      </x:c>
      <x:c r="D38" s="240" t="n">
        <x:f>$B$81*SUMIF($A$86:$A$91,B38,$B$86:$B$91)*SUMIF($D$86:$D$88,C38,$E$86:$E$88)</x:f>
        <x:v>0.024</x:v>
      </x:c>
      <x:c r="E38" s="240" t="n">
        <x:f>$C$81*SUMIF($A$86:$A$91,B38,$B$86:$B$91)*SUMIF($D$86:$D$88,C38,$E$86:$E$88)</x:f>
        <x:v>0.016</x:v>
      </x:c>
      <x:c r="F38" s="241" t="n">
        <x:f>$D$81*SUMIF($A$86:$A$91,B38,$B$86:$B$91)*SUMIF($D$86:$D$88,C38,$E$86:$E$88)</x:f>
        <x:v>0</x:v>
      </x:c>
      <x:c r="G38" s="209" t="n">
        <x:f>$E$81*SUMIF($A$86:$A$91,B38,$B$86:$B$91)*SUMIF($D$86:$D$88,C38,$E$86:$E$88)</x:f>
        <x:v>0</x:v>
      </x:c>
      <x:c r="H38" s="210" t="n">
        <x:f>1-$F$81*SUMIF($A$86:$A$91,B38,$B$86:$B$91)</x:f>
        <x:v>1</x:v>
      </x:c>
      <x:c r="I38" s="199" t="str">
        <x:v>Оба героя</x:v>
      </x:c>
    </x:row>
    <x:row r="39" ht="38" customHeight="1">
      <x:c r="A39" s="187" t="str">
        <x:v>Кожа</x:v>
      </x:c>
      <x:c r="B39" s="187" t="str">
        <x:v>Пояс</x:v>
      </x:c>
      <x:c r="C39" s="187" t="str">
        <x:v>Mystical</x:v>
      </x:c>
      <x:c r="D39" s="240" t="n">
        <x:f>$B$81*SUMIF($A$86:$A$91,B39,$B$86:$B$91)*SUMIF($D$86:$D$88,C39,$E$86:$E$88)</x:f>
        <x:v>0.012</x:v>
      </x:c>
      <x:c r="E39" s="240" t="n">
        <x:f>$C$81*SUMIF($A$86:$A$91,B39,$B$86:$B$91)*SUMIF($D$86:$D$88,C39,$E$86:$E$88)</x:f>
        <x:v>0.008</x:v>
      </x:c>
      <x:c r="F39" s="241" t="n">
        <x:f>$D$81*SUMIF($A$86:$A$91,B39,$B$86:$B$91)*SUMIF($D$86:$D$88,C39,$E$86:$E$88)</x:f>
        <x:v>0</x:v>
      </x:c>
      <x:c r="G39" s="209" t="n">
        <x:f>$E$81*SUMIF($A$86:$A$91,B39,$B$86:$B$91)*SUMIF($D$86:$D$88,C39,$E$86:$E$88)</x:f>
        <x:v>0</x:v>
      </x:c>
      <x:c r="H39" s="210" t="n">
        <x:f>1-$F$81*SUMIF($A$86:$A$91,B39,$B$86:$B$91)</x:f>
        <x:v>1</x:v>
      </x:c>
      <x:c r="I39" s="200" t="str">
        <x:v>Оба героя</x:v>
      </x:c>
    </x:row>
    <x:row r="40" ht="38" customHeight="1">
      <x:c r="A40" s="184" t="str">
        <x:v>Кожа</x:v>
      </x:c>
      <x:c r="B40" s="184" t="str">
        <x:v>Штаны</x:v>
      </x:c>
      <x:c r="C40" s="184" t="str">
        <x:v>Mystical</x:v>
      </x:c>
      <x:c r="D40" s="240" t="n">
        <x:f>$B$81*SUMIF($A$86:$A$91,B40,$B$86:$B$91)*SUMIF($D$86:$D$88,C40,$E$86:$E$88)</x:f>
        <x:v>0.048</x:v>
      </x:c>
      <x:c r="E40" s="240" t="n">
        <x:f>$C$81*SUMIF($A$86:$A$91,B40,$B$86:$B$91)*SUMIF($D$86:$D$88,C40,$E$86:$E$88)</x:f>
        <x:v>0.032</x:v>
      </x:c>
      <x:c r="F40" s="241" t="n">
        <x:f>$D$81*SUMIF($A$86:$A$91,B40,$B$86:$B$91)*SUMIF($D$86:$D$88,C40,$E$86:$E$88)</x:f>
        <x:v>0</x:v>
      </x:c>
      <x:c r="G40" s="209" t="n">
        <x:f>$E$81*SUMIF($A$86:$A$91,B40,$B$86:$B$91)*SUMIF($D$86:$D$88,C40,$E$86:$E$88)</x:f>
        <x:v>0</x:v>
      </x:c>
      <x:c r="H40" s="210" t="n">
        <x:f>1-$F$81*SUMIF($A$86:$A$91,B40,$B$86:$B$91)</x:f>
        <x:v>1</x:v>
      </x:c>
      <x:c r="I40" s="199" t="str">
        <x:v>Оба героя</x:v>
      </x:c>
    </x:row>
    <x:row r="41" ht="38" customHeight="1">
      <x:c r="A41" s="187" t="str">
        <x:v>Кожа</x:v>
      </x:c>
      <x:c r="B41" s="187" t="str">
        <x:v>Сапоги</x:v>
      </x:c>
      <x:c r="C41" s="187" t="str">
        <x:v>Mystical</x:v>
      </x:c>
      <x:c r="D41" s="240" t="n">
        <x:f>$B$81*SUMIF($A$86:$A$91,B41,$B$86:$B$91)*SUMIF($D$86:$D$88,C41,$E$86:$E$88)</x:f>
        <x:v>0.036</x:v>
      </x:c>
      <x:c r="E41" s="240" t="n">
        <x:f>$C$81*SUMIF($A$86:$A$91,B41,$B$86:$B$91)*SUMIF($D$86:$D$88,C41,$E$86:$E$88)</x:f>
        <x:v>0.024</x:v>
      </x:c>
      <x:c r="F41" s="241" t="n">
        <x:f>$D$81*SUMIF($A$86:$A$91,B41,$B$86:$B$91)*SUMIF($D$86:$D$88,C41,$E$86:$E$88)</x:f>
        <x:v>0</x:v>
      </x:c>
      <x:c r="G41" s="209" t="n">
        <x:f>$E$81*SUMIF($A$86:$A$91,B41,$B$86:$B$91)*SUMIF($D$86:$D$88,C41,$E$86:$E$88)</x:f>
        <x:v>0</x:v>
      </x:c>
      <x:c r="H41" s="210" t="n">
        <x:f>1-$F$81*SUMIF($A$86:$A$91,B41,$B$86:$B$91)</x:f>
        <x:v>1</x:v>
      </x:c>
      <x:c r="I41" s="200" t="str">
        <x:v>Оба героя</x:v>
      </x:c>
    </x:row>
    <x:row r="42" ht="38" customHeight="1">
      <x:c r="A42" s="184" t="str">
        <x:v>Шёлк</x:v>
      </x:c>
      <x:c r="B42" s="184" t="str">
        <x:v>Шлем</x:v>
      </x:c>
      <x:c r="C42" s="184" t="str">
        <x:v>Common</x:v>
      </x:c>
      <x:c r="D42" s="240" t="n">
        <x:f>$B$82*SUMIF($A$86:$A$91,B42,$B$86:$B$91)*SUMIF($D$86:$D$88,C42,$E$86:$E$88)</x:f>
        <x:v>0.009</x:v>
      </x:c>
      <x:c r="E42" s="240" t="n">
        <x:f>$C$82*SUMIF($A$86:$A$91,B42,$B$86:$B$91)*SUMIF($D$86:$D$88,C42,$E$86:$E$88)</x:f>
        <x:v>0</x:v>
      </x:c>
      <x:c r="F42" s="241" t="n">
        <x:f>$D$82*SUMIF($A$86:$A$91,B42,$B$86:$B$91)*SUMIF($D$86:$D$88,C42,$E$86:$E$88)</x:f>
        <x:v>4.5</x:v>
      </x:c>
      <x:c r="G42" s="209" t="n">
        <x:f>$E$82*SUMIF($A$86:$A$91,B42,$B$86:$B$91)*SUMIF($D$86:$D$88,C42,$E$86:$E$88)</x:f>
        <x:v>0.045</x:v>
      </x:c>
      <x:c r="H42" s="210" t="n">
        <x:f>1-$F$82*SUMIF($A$86:$A$91,B42,$B$86:$B$91)</x:f>
        <x:v>1</x:v>
      </x:c>
      <x:c r="I42" s="199" t="str">
        <x:v>Оба героя</x:v>
      </x:c>
    </x:row>
    <x:row r="43" ht="38" customHeight="1">
      <x:c r="A43" s="187" t="str">
        <x:v>Шёлк</x:v>
      </x:c>
      <x:c r="B43" s="187" t="str">
        <x:v>Броня</x:v>
      </x:c>
      <x:c r="C43" s="187" t="str">
        <x:v>Common</x:v>
      </x:c>
      <x:c r="D43" s="240" t="n">
        <x:f>$B$82*SUMIF($A$86:$A$91,B43,$B$86:$B$91)*SUMIF($D$86:$D$88,C43,$E$86:$E$88)</x:f>
        <x:v>0.020999999999999998</x:v>
      </x:c>
      <x:c r="E43" s="240" t="n">
        <x:f>$C$82*SUMIF($A$86:$A$91,B43,$B$86:$B$91)*SUMIF($D$86:$D$88,C43,$E$86:$E$88)</x:f>
        <x:v>0</x:v>
      </x:c>
      <x:c r="F43" s="241" t="n">
        <x:f>$D$82*SUMIF($A$86:$A$91,B43,$B$86:$B$91)*SUMIF($D$86:$D$88,C43,$E$86:$E$88)</x:f>
        <x:v>10.5</x:v>
      </x:c>
      <x:c r="G43" s="209" t="n">
        <x:f>$E$82*SUMIF($A$86:$A$91,B43,$B$86:$B$91)*SUMIF($D$86:$D$88,C43,$E$86:$E$88)</x:f>
        <x:v>0.105</x:v>
      </x:c>
      <x:c r="H43" s="210" t="n">
        <x:f>1-$F$82*SUMIF($A$86:$A$91,B43,$B$86:$B$91)</x:f>
        <x:v>1</x:v>
      </x:c>
      <x:c r="I43" s="200" t="str">
        <x:v>Оба героя</x:v>
      </x:c>
    </x:row>
    <x:row r="44" ht="38" customHeight="1">
      <x:c r="A44" s="184" t="str">
        <x:v>Шёлк</x:v>
      </x:c>
      <x:c r="B44" s="184" t="str">
        <x:v>Перчатки</x:v>
      </x:c>
      <x:c r="C44" s="184" t="str">
        <x:v>Common</x:v>
      </x:c>
      <x:c r="D44" s="240" t="n">
        <x:f>$B$82*SUMIF($A$86:$A$91,B44,$B$86:$B$91)*SUMIF($D$86:$D$88,C44,$E$86:$E$88)</x:f>
        <x:v>0.006</x:v>
      </x:c>
      <x:c r="E44" s="240" t="n">
        <x:f>$C$82*SUMIF($A$86:$A$91,B44,$B$86:$B$91)*SUMIF($D$86:$D$88,C44,$E$86:$E$88)</x:f>
        <x:v>0</x:v>
      </x:c>
      <x:c r="F44" s="241" t="n">
        <x:f>$D$82*SUMIF($A$86:$A$91,B44,$B$86:$B$91)*SUMIF($D$86:$D$88,C44,$E$86:$E$88)</x:f>
        <x:v>3</x:v>
      </x:c>
      <x:c r="G44" s="209" t="n">
        <x:f>$E$82*SUMIF($A$86:$A$91,B44,$B$86:$B$91)*SUMIF($D$86:$D$88,C44,$E$86:$E$88)</x:f>
        <x:v>0.03</x:v>
      </x:c>
      <x:c r="H44" s="210" t="n">
        <x:f>1-$F$82*SUMIF($A$86:$A$91,B44,$B$86:$B$91)</x:f>
        <x:v>1</x:v>
      </x:c>
      <x:c r="I44" s="199" t="str">
        <x:v>Оба героя</x:v>
      </x:c>
    </x:row>
    <x:row r="45" ht="38" customHeight="1">
      <x:c r="A45" s="187" t="str">
        <x:v>Шёлк</x:v>
      </x:c>
      <x:c r="B45" s="187" t="str">
        <x:v>Пояс</x:v>
      </x:c>
      <x:c r="C45" s="187" t="str">
        <x:v>Common</x:v>
      </x:c>
      <x:c r="D45" s="240" t="n">
        <x:f>$B$82*SUMIF($A$86:$A$91,B45,$B$86:$B$91)*SUMIF($D$86:$D$88,C45,$E$86:$E$88)</x:f>
        <x:v>0.003</x:v>
      </x:c>
      <x:c r="E45" s="240" t="n">
        <x:f>$C$82*SUMIF($A$86:$A$91,B45,$B$86:$B$91)*SUMIF($D$86:$D$88,C45,$E$86:$E$88)</x:f>
        <x:v>0</x:v>
      </x:c>
      <x:c r="F45" s="241" t="n">
        <x:f>$D$82*SUMIF($A$86:$A$91,B45,$B$86:$B$91)*SUMIF($D$86:$D$88,C45,$E$86:$E$88)</x:f>
        <x:v>1.5</x:v>
      </x:c>
      <x:c r="G45" s="209" t="n">
        <x:f>$E$82*SUMIF($A$86:$A$91,B45,$B$86:$B$91)*SUMIF($D$86:$D$88,C45,$E$86:$E$88)</x:f>
        <x:v>0.015</x:v>
      </x:c>
      <x:c r="H45" s="210" t="n">
        <x:f>1-$F$82*SUMIF($A$86:$A$91,B45,$B$86:$B$91)</x:f>
        <x:v>1</x:v>
      </x:c>
      <x:c r="I45" s="200" t="str">
        <x:v>Оба героя</x:v>
      </x:c>
    </x:row>
    <x:row r="46" ht="38" customHeight="1">
      <x:c r="A46" s="184" t="str">
        <x:v>Шёлк</x:v>
      </x:c>
      <x:c r="B46" s="184" t="str">
        <x:v>Штаны</x:v>
      </x:c>
      <x:c r="C46" s="184" t="str">
        <x:v>Common</x:v>
      </x:c>
      <x:c r="D46" s="240" t="n">
        <x:f>$B$82*SUMIF($A$86:$A$91,B46,$B$86:$B$91)*SUMIF($D$86:$D$88,C46,$E$86:$E$88)</x:f>
        <x:v>0.012</x:v>
      </x:c>
      <x:c r="E46" s="240" t="n">
        <x:f>$C$82*SUMIF($A$86:$A$91,B46,$B$86:$B$91)*SUMIF($D$86:$D$88,C46,$E$86:$E$88)</x:f>
        <x:v>0</x:v>
      </x:c>
      <x:c r="F46" s="241" t="n">
        <x:f>$D$82*SUMIF($A$86:$A$91,B46,$B$86:$B$91)*SUMIF($D$86:$D$88,C46,$E$86:$E$88)</x:f>
        <x:v>6</x:v>
      </x:c>
      <x:c r="G46" s="209" t="n">
        <x:f>$E$82*SUMIF($A$86:$A$91,B46,$B$86:$B$91)*SUMIF($D$86:$D$88,C46,$E$86:$E$88)</x:f>
        <x:v>0.06</x:v>
      </x:c>
      <x:c r="H46" s="210" t="n">
        <x:f>1-$F$82*SUMIF($A$86:$A$91,B46,$B$86:$B$91)</x:f>
        <x:v>1</x:v>
      </x:c>
      <x:c r="I46" s="199" t="str">
        <x:v>Оба героя</x:v>
      </x:c>
    </x:row>
    <x:row r="47" ht="38" customHeight="1">
      <x:c r="A47" s="187" t="str">
        <x:v>Шёлк</x:v>
      </x:c>
      <x:c r="B47" s="187" t="str">
        <x:v>Сапоги</x:v>
      </x:c>
      <x:c r="C47" s="187" t="str">
        <x:v>Common</x:v>
      </x:c>
      <x:c r="D47" s="240" t="n">
        <x:f>$B$82*SUMIF($A$86:$A$91,B47,$B$86:$B$91)*SUMIF($D$86:$D$88,C47,$E$86:$E$88)</x:f>
        <x:v>0.009</x:v>
      </x:c>
      <x:c r="E47" s="240" t="n">
        <x:f>$C$82*SUMIF($A$86:$A$91,B47,$B$86:$B$91)*SUMIF($D$86:$D$88,C47,$E$86:$E$88)</x:f>
        <x:v>0</x:v>
      </x:c>
      <x:c r="F47" s="241" t="n">
        <x:f>$D$82*SUMIF($A$86:$A$91,B47,$B$86:$B$91)*SUMIF($D$86:$D$88,C47,$E$86:$E$88)</x:f>
        <x:v>4.5</x:v>
      </x:c>
      <x:c r="G47" s="209" t="n">
        <x:f>$E$82*SUMIF($A$86:$A$91,B47,$B$86:$B$91)*SUMIF($D$86:$D$88,C47,$E$86:$E$88)</x:f>
        <x:v>0.045</x:v>
      </x:c>
      <x:c r="H47" s="210" t="n">
        <x:f>1-$F$82*SUMIF($A$86:$A$91,B47,$B$86:$B$91)</x:f>
        <x:v>1</x:v>
      </x:c>
      <x:c r="I47" s="200" t="str">
        <x:v>Оба героя</x:v>
      </x:c>
    </x:row>
    <x:row r="48" ht="38" customHeight="1">
      <x:c r="A48" s="184" t="str">
        <x:v>Шёлк</x:v>
      </x:c>
      <x:c r="B48" s="184" t="str">
        <x:v>Шлем</x:v>
      </x:c>
      <x:c r="C48" s="184" t="str">
        <x:v>Rare</x:v>
      </x:c>
      <x:c r="D48" s="240" t="n">
        <x:f>$B$82*SUMIF($A$86:$A$91,B48,$B$86:$B$91)*SUMIF($D$86:$D$88,C48,$E$86:$E$88)</x:f>
        <x:v>0.013499999999999998</x:v>
      </x:c>
      <x:c r="E48" s="240" t="n">
        <x:f>$C$82*SUMIF($A$86:$A$91,B48,$B$86:$B$91)*SUMIF($D$86:$D$88,C48,$E$86:$E$88)</x:f>
        <x:v>0</x:v>
      </x:c>
      <x:c r="F48" s="241" t="n">
        <x:f>$D$82*SUMIF($A$86:$A$91,B48,$B$86:$B$91)*SUMIF($D$86:$D$88,C48,$E$86:$E$88)</x:f>
        <x:v>6.75</x:v>
      </x:c>
      <x:c r="G48" s="209" t="n">
        <x:f>$E$82*SUMIF($A$86:$A$91,B48,$B$86:$B$91)*SUMIF($D$86:$D$88,C48,$E$86:$E$88)</x:f>
        <x:v>0.0675</x:v>
      </x:c>
      <x:c r="H48" s="210" t="n">
        <x:f>1-$F$82*SUMIF($A$86:$A$91,B48,$B$86:$B$91)</x:f>
        <x:v>1</x:v>
      </x:c>
      <x:c r="I48" s="199" t="str">
        <x:v>Оба героя</x:v>
      </x:c>
    </x:row>
    <x:row r="49" ht="38" customHeight="1">
      <x:c r="A49" s="187" t="str">
        <x:v>Шёлк</x:v>
      </x:c>
      <x:c r="B49" s="187" t="str">
        <x:v>Броня</x:v>
      </x:c>
      <x:c r="C49" s="187" t="str">
        <x:v>Rare</x:v>
      </x:c>
      <x:c r="D49" s="240" t="n">
        <x:f>$B$82*SUMIF($A$86:$A$91,B49,$B$86:$B$91)*SUMIF($D$86:$D$88,C49,$E$86:$E$88)</x:f>
        <x:v>0.0315</x:v>
      </x:c>
      <x:c r="E49" s="240" t="n">
        <x:f>$C$82*SUMIF($A$86:$A$91,B49,$B$86:$B$91)*SUMIF($D$86:$D$88,C49,$E$86:$E$88)</x:f>
        <x:v>0</x:v>
      </x:c>
      <x:c r="F49" s="241" t="n">
        <x:f>$D$82*SUMIF($A$86:$A$91,B49,$B$86:$B$91)*SUMIF($D$86:$D$88,C49,$E$86:$E$88)</x:f>
        <x:v>15.75</x:v>
      </x:c>
      <x:c r="G49" s="209" t="n">
        <x:f>$E$82*SUMIF($A$86:$A$91,B49,$B$86:$B$91)*SUMIF($D$86:$D$88,C49,$E$86:$E$88)</x:f>
        <x:v>0.1575</x:v>
      </x:c>
      <x:c r="H49" s="210" t="n">
        <x:f>1-$F$82*SUMIF($A$86:$A$91,B49,$B$86:$B$91)</x:f>
        <x:v>1</x:v>
      </x:c>
      <x:c r="I49" s="200" t="str">
        <x:v>Оба героя</x:v>
      </x:c>
    </x:row>
    <x:row r="50" ht="38" customHeight="1">
      <x:c r="A50" s="184" t="str">
        <x:v>Шёлк</x:v>
      </x:c>
      <x:c r="B50" s="184" t="str">
        <x:v>Перчатки</x:v>
      </x:c>
      <x:c r="C50" s="184" t="str">
        <x:v>Rare</x:v>
      </x:c>
      <x:c r="D50" s="240" t="n">
        <x:f>$B$82*SUMIF($A$86:$A$91,B50,$B$86:$B$91)*SUMIF($D$86:$D$88,C50,$E$86:$E$88)</x:f>
        <x:v>0.009000000000000001</x:v>
      </x:c>
      <x:c r="E50" s="240" t="n">
        <x:f>$C$82*SUMIF($A$86:$A$91,B50,$B$86:$B$91)*SUMIF($D$86:$D$88,C50,$E$86:$E$88)</x:f>
        <x:v>0</x:v>
      </x:c>
      <x:c r="F50" s="241" t="n">
        <x:f>$D$82*SUMIF($A$86:$A$91,B50,$B$86:$B$91)*SUMIF($D$86:$D$88,C50,$E$86:$E$88)</x:f>
        <x:v>4.5</x:v>
      </x:c>
      <x:c r="G50" s="209" t="n">
        <x:f>$E$82*SUMIF($A$86:$A$91,B50,$B$86:$B$91)*SUMIF($D$86:$D$88,C50,$E$86:$E$88)</x:f>
        <x:v>0.045</x:v>
      </x:c>
      <x:c r="H50" s="210" t="n">
        <x:f>1-$F$82*SUMIF($A$86:$A$91,B50,$B$86:$B$91)</x:f>
        <x:v>1</x:v>
      </x:c>
      <x:c r="I50" s="199" t="str">
        <x:v>Оба героя</x:v>
      </x:c>
    </x:row>
    <x:row r="51" ht="38" customHeight="1">
      <x:c r="A51" s="187" t="str">
        <x:v>Шёлк</x:v>
      </x:c>
      <x:c r="B51" s="187" t="str">
        <x:v>Пояс</x:v>
      </x:c>
      <x:c r="C51" s="187" t="str">
        <x:v>Rare</x:v>
      </x:c>
      <x:c r="D51" s="240" t="n">
        <x:f>$B$82*SUMIF($A$86:$A$91,B51,$B$86:$B$91)*SUMIF($D$86:$D$88,C51,$E$86:$E$88)</x:f>
        <x:v>0.0045000000000000005</x:v>
      </x:c>
      <x:c r="E51" s="240" t="n">
        <x:f>$C$82*SUMIF($A$86:$A$91,B51,$B$86:$B$91)*SUMIF($D$86:$D$88,C51,$E$86:$E$88)</x:f>
        <x:v>0</x:v>
      </x:c>
      <x:c r="F51" s="241" t="n">
        <x:f>$D$82*SUMIF($A$86:$A$91,B51,$B$86:$B$91)*SUMIF($D$86:$D$88,C51,$E$86:$E$88)</x:f>
        <x:v>2.25</x:v>
      </x:c>
      <x:c r="G51" s="209" t="n">
        <x:f>$E$82*SUMIF($A$86:$A$91,B51,$B$86:$B$91)*SUMIF($D$86:$D$88,C51,$E$86:$E$88)</x:f>
        <x:v>0.0225</x:v>
      </x:c>
      <x:c r="H51" s="210" t="n">
        <x:f>1-$F$82*SUMIF($A$86:$A$91,B51,$B$86:$B$91)</x:f>
        <x:v>1</x:v>
      </x:c>
      <x:c r="I51" s="200" t="str">
        <x:v>Оба героя</x:v>
      </x:c>
    </x:row>
    <x:row r="52" ht="38" customHeight="1">
      <x:c r="A52" s="184" t="str">
        <x:v>Шёлк</x:v>
      </x:c>
      <x:c r="B52" s="184" t="str">
        <x:v>Штаны</x:v>
      </x:c>
      <x:c r="C52" s="184" t="str">
        <x:v>Rare</x:v>
      </x:c>
      <x:c r="D52" s="240" t="n">
        <x:f>$B$82*SUMIF($A$86:$A$91,B52,$B$86:$B$91)*SUMIF($D$86:$D$88,C52,$E$86:$E$88)</x:f>
        <x:v>0.018000000000000002</x:v>
      </x:c>
      <x:c r="E52" s="240" t="n">
        <x:f>$C$82*SUMIF($A$86:$A$91,B52,$B$86:$B$91)*SUMIF($D$86:$D$88,C52,$E$86:$E$88)</x:f>
        <x:v>0</x:v>
      </x:c>
      <x:c r="F52" s="241" t="n">
        <x:f>$D$82*SUMIF($A$86:$A$91,B52,$B$86:$B$91)*SUMIF($D$86:$D$88,C52,$E$86:$E$88)</x:f>
        <x:v>9</x:v>
      </x:c>
      <x:c r="G52" s="209" t="n">
        <x:f>$E$82*SUMIF($A$86:$A$91,B52,$B$86:$B$91)*SUMIF($D$86:$D$88,C52,$E$86:$E$88)</x:f>
        <x:v>0.09</x:v>
      </x:c>
      <x:c r="H52" s="210" t="n">
        <x:f>1-$F$82*SUMIF($A$86:$A$91,B52,$B$86:$B$91)</x:f>
        <x:v>1</x:v>
      </x:c>
      <x:c r="I52" s="199" t="str">
        <x:v>Оба героя</x:v>
      </x:c>
    </x:row>
    <x:row r="53" ht="38" customHeight="1">
      <x:c r="A53" s="187" t="str">
        <x:v>Шёлк</x:v>
      </x:c>
      <x:c r="B53" s="187" t="str">
        <x:v>Сапоги</x:v>
      </x:c>
      <x:c r="C53" s="187" t="str">
        <x:v>Rare</x:v>
      </x:c>
      <x:c r="D53" s="240" t="n">
        <x:f>$B$82*SUMIF($A$86:$A$91,B53,$B$86:$B$91)*SUMIF($D$86:$D$88,C53,$E$86:$E$88)</x:f>
        <x:v>0.013499999999999998</x:v>
      </x:c>
      <x:c r="E53" s="240" t="n">
        <x:f>$C$82*SUMIF($A$86:$A$91,B53,$B$86:$B$91)*SUMIF($D$86:$D$88,C53,$E$86:$E$88)</x:f>
        <x:v>0</x:v>
      </x:c>
      <x:c r="F53" s="241" t="n">
        <x:f>$D$82*SUMIF($A$86:$A$91,B53,$B$86:$B$91)*SUMIF($D$86:$D$88,C53,$E$86:$E$88)</x:f>
        <x:v>6.75</x:v>
      </x:c>
      <x:c r="G53" s="209" t="n">
        <x:f>$E$82*SUMIF($A$86:$A$91,B53,$B$86:$B$91)*SUMIF($D$86:$D$88,C53,$E$86:$E$88)</x:f>
        <x:v>0.0675</x:v>
      </x:c>
      <x:c r="H53" s="210" t="n">
        <x:f>1-$F$82*SUMIF($A$86:$A$91,B53,$B$86:$B$91)</x:f>
        <x:v>1</x:v>
      </x:c>
      <x:c r="I53" s="200" t="str">
        <x:v>Оба героя</x:v>
      </x:c>
    </x:row>
    <x:row r="54" ht="38" customHeight="1">
      <x:c r="A54" s="184" t="str">
        <x:v>Шёлк</x:v>
      </x:c>
      <x:c r="B54" s="184" t="str">
        <x:v>Шлем</x:v>
      </x:c>
      <x:c r="C54" s="184" t="str">
        <x:v>Mystical</x:v>
      </x:c>
      <x:c r="D54" s="240" t="n">
        <x:f>$B$82*SUMIF($A$86:$A$91,B54,$B$86:$B$91)*SUMIF($D$86:$D$88,C54,$E$86:$E$88)</x:f>
        <x:v>0.018</x:v>
      </x:c>
      <x:c r="E54" s="240" t="n">
        <x:f>$C$82*SUMIF($A$86:$A$91,B54,$B$86:$B$91)*SUMIF($D$86:$D$88,C54,$E$86:$E$88)</x:f>
        <x:v>0</x:v>
      </x:c>
      <x:c r="F54" s="241" t="n">
        <x:f>$D$82*SUMIF($A$86:$A$91,B54,$B$86:$B$91)*SUMIF($D$86:$D$88,C54,$E$86:$E$88)</x:f>
        <x:v>9</x:v>
      </x:c>
      <x:c r="G54" s="209" t="n">
        <x:f>$E$82*SUMIF($A$86:$A$91,B54,$B$86:$B$91)*SUMIF($D$86:$D$88,C54,$E$86:$E$88)</x:f>
        <x:v>0.09</x:v>
      </x:c>
      <x:c r="H54" s="210" t="n">
        <x:f>1-$F$82*SUMIF($A$86:$A$91,B54,$B$86:$B$91)</x:f>
        <x:v>1</x:v>
      </x:c>
      <x:c r="I54" s="199" t="str">
        <x:v>Оба героя</x:v>
      </x:c>
    </x:row>
    <x:row r="55" ht="38" customHeight="1">
      <x:c r="A55" s="187" t="str">
        <x:v>Шёлк</x:v>
      </x:c>
      <x:c r="B55" s="187" t="str">
        <x:v>Броня</x:v>
      </x:c>
      <x:c r="C55" s="187" t="str">
        <x:v>Mystical</x:v>
      </x:c>
      <x:c r="D55" s="240" t="n">
        <x:f>$B$82*SUMIF($A$86:$A$91,B55,$B$86:$B$91)*SUMIF($D$86:$D$88,C55,$E$86:$E$88)</x:f>
        <x:v>0.041999999999999996</x:v>
      </x:c>
      <x:c r="E55" s="240" t="n">
        <x:f>$C$82*SUMIF($A$86:$A$91,B55,$B$86:$B$91)*SUMIF($D$86:$D$88,C55,$E$86:$E$88)</x:f>
        <x:v>0</x:v>
      </x:c>
      <x:c r="F55" s="241" t="n">
        <x:f>$D$82*SUMIF($A$86:$A$91,B55,$B$86:$B$91)*SUMIF($D$86:$D$88,C55,$E$86:$E$88)</x:f>
        <x:v>21</x:v>
      </x:c>
      <x:c r="G55" s="209" t="n">
        <x:f>$E$82*SUMIF($A$86:$A$91,B55,$B$86:$B$91)*SUMIF($D$86:$D$88,C55,$E$86:$E$88)</x:f>
        <x:v>0.21</x:v>
      </x:c>
      <x:c r="H55" s="210" t="n">
        <x:f>1-$F$82*SUMIF($A$86:$A$91,B55,$B$86:$B$91)</x:f>
        <x:v>1</x:v>
      </x:c>
      <x:c r="I55" s="200" t="str">
        <x:v>Оба героя</x:v>
      </x:c>
    </x:row>
    <x:row r="56" ht="38" customHeight="1">
      <x:c r="A56" s="184" t="str">
        <x:v>Шёлк</x:v>
      </x:c>
      <x:c r="B56" s="184" t="str">
        <x:v>Перчатки</x:v>
      </x:c>
      <x:c r="C56" s="184" t="str">
        <x:v>Mystical</x:v>
      </x:c>
      <x:c r="D56" s="240" t="n">
        <x:f>$B$82*SUMIF($A$86:$A$91,B56,$B$86:$B$91)*SUMIF($D$86:$D$88,C56,$E$86:$E$88)</x:f>
        <x:v>0.012</x:v>
      </x:c>
      <x:c r="E56" s="240" t="n">
        <x:f>$C$82*SUMIF($A$86:$A$91,B56,$B$86:$B$91)*SUMIF($D$86:$D$88,C56,$E$86:$E$88)</x:f>
        <x:v>0</x:v>
      </x:c>
      <x:c r="F56" s="241" t="n">
        <x:f>$D$82*SUMIF($A$86:$A$91,B56,$B$86:$B$91)*SUMIF($D$86:$D$88,C56,$E$86:$E$88)</x:f>
        <x:v>6</x:v>
      </x:c>
      <x:c r="G56" s="209" t="n">
        <x:f>$E$82*SUMIF($A$86:$A$91,B56,$B$86:$B$91)*SUMIF($D$86:$D$88,C56,$E$86:$E$88)</x:f>
        <x:v>0.06</x:v>
      </x:c>
      <x:c r="H56" s="210" t="n">
        <x:f>1-$F$82*SUMIF($A$86:$A$91,B56,$B$86:$B$91)</x:f>
        <x:v>1</x:v>
      </x:c>
      <x:c r="I56" s="199" t="str">
        <x:v>Оба героя</x:v>
      </x:c>
    </x:row>
    <x:row r="57" ht="38" customHeight="1">
      <x:c r="A57" s="187" t="str">
        <x:v>Шёлк</x:v>
      </x:c>
      <x:c r="B57" s="187" t="str">
        <x:v>Пояс</x:v>
      </x:c>
      <x:c r="C57" s="187" t="str">
        <x:v>Mystical</x:v>
      </x:c>
      <x:c r="D57" s="240" t="n">
        <x:f>$B$82*SUMIF($A$86:$A$91,B57,$B$86:$B$91)*SUMIF($D$86:$D$88,C57,$E$86:$E$88)</x:f>
        <x:v>0.006</x:v>
      </x:c>
      <x:c r="E57" s="240" t="n">
        <x:f>$C$82*SUMIF($A$86:$A$91,B57,$B$86:$B$91)*SUMIF($D$86:$D$88,C57,$E$86:$E$88)</x:f>
        <x:v>0</x:v>
      </x:c>
      <x:c r="F57" s="241" t="n">
        <x:f>$D$82*SUMIF($A$86:$A$91,B57,$B$86:$B$91)*SUMIF($D$86:$D$88,C57,$E$86:$E$88)</x:f>
        <x:v>3</x:v>
      </x:c>
      <x:c r="G57" s="209" t="n">
        <x:f>$E$82*SUMIF($A$86:$A$91,B57,$B$86:$B$91)*SUMIF($D$86:$D$88,C57,$E$86:$E$88)</x:f>
        <x:v>0.03</x:v>
      </x:c>
      <x:c r="H57" s="210" t="n">
        <x:f>1-$F$82*SUMIF($A$86:$A$91,B57,$B$86:$B$91)</x:f>
        <x:v>1</x:v>
      </x:c>
      <x:c r="I57" s="200" t="str">
        <x:v>Оба героя</x:v>
      </x:c>
    </x:row>
    <x:row r="58" ht="38" customHeight="1">
      <x:c r="A58" s="184" t="str">
        <x:v>Шёлк</x:v>
      </x:c>
      <x:c r="B58" s="184" t="str">
        <x:v>Штаны</x:v>
      </x:c>
      <x:c r="C58" s="184" t="str">
        <x:v>Mystical</x:v>
      </x:c>
      <x:c r="D58" s="240" t="n">
        <x:f>$B$82*SUMIF($A$86:$A$91,B58,$B$86:$B$91)*SUMIF($D$86:$D$88,C58,$E$86:$E$88)</x:f>
        <x:v>0.024</x:v>
      </x:c>
      <x:c r="E58" s="240" t="n">
        <x:f>$C$82*SUMIF($A$86:$A$91,B58,$B$86:$B$91)*SUMIF($D$86:$D$88,C58,$E$86:$E$88)</x:f>
        <x:v>0</x:v>
      </x:c>
      <x:c r="F58" s="241" t="n">
        <x:f>$D$82*SUMIF($A$86:$A$91,B58,$B$86:$B$91)*SUMIF($D$86:$D$88,C58,$E$86:$E$88)</x:f>
        <x:v>12</x:v>
      </x:c>
      <x:c r="G58" s="209" t="n">
        <x:f>$E$82*SUMIF($A$86:$A$91,B58,$B$86:$B$91)*SUMIF($D$86:$D$88,C58,$E$86:$E$88)</x:f>
        <x:v>0.12</x:v>
      </x:c>
      <x:c r="H58" s="210" t="n">
        <x:f>1-$F$82*SUMIF($A$86:$A$91,B58,$B$86:$B$91)</x:f>
        <x:v>1</x:v>
      </x:c>
      <x:c r="I58" s="199" t="str">
        <x:v>Оба героя</x:v>
      </x:c>
    </x:row>
    <x:row r="59" ht="38" customHeight="1">
      <x:c r="A59" s="187" t="str">
        <x:v>Шёлк</x:v>
      </x:c>
      <x:c r="B59" s="187" t="str">
        <x:v>Сапоги</x:v>
      </x:c>
      <x:c r="C59" s="187" t="str">
        <x:v>Mystical</x:v>
      </x:c>
      <x:c r="D59" s="240" t="n">
        <x:f>$B$82*SUMIF($A$86:$A$91,B59,$B$86:$B$91)*SUMIF($D$86:$D$88,C59,$E$86:$E$88)</x:f>
        <x:v>0.018</x:v>
      </x:c>
      <x:c r="E59" s="240" t="n">
        <x:f>$C$82*SUMIF($A$86:$A$91,B59,$B$86:$B$91)*SUMIF($D$86:$D$88,C59,$E$86:$E$88)</x:f>
        <x:v>0</x:v>
      </x:c>
      <x:c r="F59" s="241" t="n">
        <x:f>$D$82*SUMIF($A$86:$A$91,B59,$B$86:$B$91)*SUMIF($D$86:$D$88,C59,$E$86:$E$88)</x:f>
        <x:v>9</x:v>
      </x:c>
      <x:c r="G59" s="209" t="n">
        <x:f>$E$82*SUMIF($A$86:$A$91,B59,$B$86:$B$91)*SUMIF($D$86:$D$88,C59,$E$86:$E$88)</x:f>
        <x:v>0.09</x:v>
      </x:c>
      <x:c r="H59" s="210" t="n">
        <x:f>1-$F$82*SUMIF($A$86:$A$91,B59,$B$86:$B$91)</x:f>
        <x:v>1</x:v>
      </x:c>
      <x:c r="I59" s="200" t="str">
        <x:v>Оба героя</x:v>
      </x:c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30" customHeight="1">
      <x:c r="A62" s="171" t="str">
        <x:v>Оружие — свойства новой вещи</x:v>
      </x:c>
      <x:c r="B62" s="171"/>
      <x:c r="C62" s="171"/>
      <x:c r="D62" s="171"/>
      <x:c r="E62" s="171"/>
      <x:c r="F62" s="171"/>
      <x:c r="G62" s="171"/>
      <x:c r="H62" s="171"/>
      <x:c r="I62" s="171"/>
    </x:row>
    <x:row r="63" ht="46" customHeight="1">
      <x:c r="A63" s="180" t="str">
        <x:v>Оружие</x:v>
      </x:c>
      <x:c r="B63" s="181" t="str">
        <x:v>Редкость</x:v>
      </x:c>
      <x:c r="C63" s="181" t="str">
        <x:v>Урон + мин.</x:v>
      </x:c>
      <x:c r="D63" s="181" t="str">
        <x:v>Урон + макс.</x:v>
      </x:c>
      <x:c r="E63" s="181" t="str">
        <x:v>Сплэш</x:v>
      </x:c>
      <x:c r="F63" s="181" t="str">
        <x:v>Крит. шанс</x:v>
      </x:c>
      <x:c r="G63" s="181" t="str">
        <x:v>Частота +</x:v>
      </x:c>
      <x:c r="H63" s="181" t="str">
        <x:v>Расход маны −</x:v>
      </x:c>
      <x:c r="I63" s="182" t="str">
        <x:v>Кому подходит</x:v>
      </x:c>
    </x:row>
    <x:row r="64" ht="40" customHeight="1">
      <x:c r="A64" s="184" t="str">
        <x:v>Меч</x:v>
      </x:c>
      <x:c r="B64" s="184" t="str">
        <x:v>Common</x:v>
      </x:c>
      <x:c r="C64" s="191" t="n">
        <x:f>'Добыча'!C14</x:f>
        <x:v>1</x:v>
      </x:c>
      <x:c r="D64" s="191" t="n">
        <x:f>'Добыча'!D14</x:f>
        <x:v>3</x:v>
      </x:c>
      <x:c r="E64" s="201" t="n">
        <x:v>0.25</x:v>
      </x:c>
      <x:c r="F64" s="201" t="n">
        <x:v>0</x:v>
      </x:c>
      <x:c r="G64" s="201" t="n">
        <x:v>0</x:v>
      </x:c>
      <x:c r="H64" s="201" t="n">
        <x:v>0</x:v>
      </x:c>
      <x:c r="I64" s="199" t="str">
        <x:v>Ахилл; Цирцея со штрафом</x:v>
      </x:c>
    </x:row>
    <x:row r="65" ht="40" customHeight="1">
      <x:c r="A65" s="187" t="str">
        <x:v>Меч</x:v>
      </x:c>
      <x:c r="B65" s="187" t="str">
        <x:v>Rare</x:v>
      </x:c>
      <x:c r="C65" s="191" t="n">
        <x:f>'Добыча'!C15</x:f>
        <x:v>5</x:v>
      </x:c>
      <x:c r="D65" s="191" t="n">
        <x:f>'Добыча'!D15</x:f>
        <x:v>7</x:v>
      </x:c>
      <x:c r="E65" s="201" t="n">
        <x:v>0.35</x:v>
      </x:c>
      <x:c r="F65" s="201" t="n">
        <x:v>0</x:v>
      </x:c>
      <x:c r="G65" s="201" t="n">
        <x:v>0</x:v>
      </x:c>
      <x:c r="H65" s="201" t="n">
        <x:v>0</x:v>
      </x:c>
      <x:c r="I65" s="200" t="str">
        <x:v>Ахилл; Цирцея со штрафом</x:v>
      </x:c>
    </x:row>
    <x:row r="66" ht="40" customHeight="1">
      <x:c r="A66" s="184" t="str">
        <x:v>Меч</x:v>
      </x:c>
      <x:c r="B66" s="184" t="str">
        <x:v>Mystical</x:v>
      </x:c>
      <x:c r="C66" s="191" t="n">
        <x:f>'Добыча'!C16</x:f>
        <x:v>10</x:v>
      </x:c>
      <x:c r="D66" s="191" t="n">
        <x:f>'Добыча'!D16</x:f>
        <x:v>15</x:v>
      </x:c>
      <x:c r="E66" s="201" t="n">
        <x:v>0.5</x:v>
      </x:c>
      <x:c r="F66" s="201" t="n">
        <x:v>0</x:v>
      </x:c>
      <x:c r="G66" s="201" t="n">
        <x:v>0</x:v>
      </x:c>
      <x:c r="H66" s="201" t="n">
        <x:v>0</x:v>
      </x:c>
      <x:c r="I66" s="199" t="str">
        <x:v>Ахилл; Цирцея со штрафом</x:v>
      </x:c>
    </x:row>
    <x:row r="67" ht="40" customHeight="1">
      <x:c r="A67" s="187" t="str">
        <x:v>Посох</x:v>
      </x:c>
      <x:c r="B67" s="187" t="str">
        <x:v>Common</x:v>
      </x:c>
      <x:c r="C67" s="191" t="n">
        <x:f>'Добыча'!C17</x:f>
        <x:v>1</x:v>
      </x:c>
      <x:c r="D67" s="191" t="n">
        <x:f>'Добыча'!D17</x:f>
        <x:v>4</x:v>
      </x:c>
      <x:c r="E67" s="201" t="n">
        <x:v>0</x:v>
      </x:c>
      <x:c r="F67" s="201" t="n">
        <x:v>0</x:v>
      </x:c>
      <x:c r="G67" s="201" t="n">
        <x:v>0</x:v>
      </x:c>
      <x:c r="H67" s="201" t="n">
        <x:v>0.1</x:v>
      </x:c>
      <x:c r="I67" s="200" t="str">
        <x:v>Урон: Цирцея; мана: оба</x:v>
      </x:c>
    </x:row>
    <x:row r="68" ht="40" customHeight="1">
      <x:c r="A68" s="184" t="str">
        <x:v>Посох</x:v>
      </x:c>
      <x:c r="B68" s="184" t="str">
        <x:v>Rare</x:v>
      </x:c>
      <x:c r="C68" s="191" t="n">
        <x:f>'Добыча'!C18</x:f>
        <x:v>5</x:v>
      </x:c>
      <x:c r="D68" s="191" t="n">
        <x:f>'Добыча'!D18</x:f>
        <x:v>9</x:v>
      </x:c>
      <x:c r="E68" s="201" t="n">
        <x:v>0</x:v>
      </x:c>
      <x:c r="F68" s="201" t="n">
        <x:v>0</x:v>
      </x:c>
      <x:c r="G68" s="201" t="n">
        <x:v>0</x:v>
      </x:c>
      <x:c r="H68" s="201" t="n">
        <x:v>0.15</x:v>
      </x:c>
      <x:c r="I68" s="199" t="str">
        <x:v>Урон: Цирцея; мана: оба</x:v>
      </x:c>
    </x:row>
    <x:row r="69" ht="40" customHeight="1">
      <x:c r="A69" s="187" t="str">
        <x:v>Посох</x:v>
      </x:c>
      <x:c r="B69" s="187" t="str">
        <x:v>Mystical</x:v>
      </x:c>
      <x:c r="C69" s="191" t="n">
        <x:f>'Добыча'!C19</x:f>
        <x:v>9</x:v>
      </x:c>
      <x:c r="D69" s="191" t="n">
        <x:f>'Добыча'!D19</x:f>
        <x:v>20</x:v>
      </x:c>
      <x:c r="E69" s="201" t="n">
        <x:v>0</x:v>
      </x:c>
      <x:c r="F69" s="201" t="n">
        <x:v>0</x:v>
      </x:c>
      <x:c r="G69" s="201" t="n">
        <x:v>0</x:v>
      </x:c>
      <x:c r="H69" s="201" t="n">
        <x:v>0.2</x:v>
      </x:c>
      <x:c r="I69" s="200" t="str">
        <x:v>Урон: Цирцея; мана: оба</x:v>
      </x:c>
    </x:row>
    <x:row r="70" ht="40" customHeight="1">
      <x:c r="A70" s="184" t="str">
        <x:v>Кинжал</x:v>
      </x:c>
      <x:c r="B70" s="184" t="str">
        <x:v>Common</x:v>
      </x:c>
      <x:c r="C70" s="184" t="n">
        <x:v>0</x:v>
      </x:c>
      <x:c r="D70" s="184" t="n">
        <x:v>0</x:v>
      </x:c>
      <x:c r="E70" s="201" t="n">
        <x:v>0</x:v>
      </x:c>
      <x:c r="F70" s="201" t="n">
        <x:v>0.025</x:v>
      </x:c>
      <x:c r="G70" s="201" t="n">
        <x:v>0.1</x:v>
      </x:c>
      <x:c r="H70" s="201" t="n">
        <x:v>0</x:v>
      </x:c>
      <x:c r="I70" s="199" t="str">
        <x:v>Ахилл</x:v>
      </x:c>
    </x:row>
    <x:row r="71" ht="40" customHeight="1">
      <x:c r="A71" s="187" t="str">
        <x:v>Кинжал</x:v>
      </x:c>
      <x:c r="B71" s="187" t="str">
        <x:v>Rare</x:v>
      </x:c>
      <x:c r="C71" s="187" t="n">
        <x:v>0</x:v>
      </x:c>
      <x:c r="D71" s="187" t="n">
        <x:v>0</x:v>
      </x:c>
      <x:c r="E71" s="201" t="n">
        <x:v>0</x:v>
      </x:c>
      <x:c r="F71" s="201" t="n">
        <x:v>0.05</x:v>
      </x:c>
      <x:c r="G71" s="201" t="n">
        <x:v>0.2</x:v>
      </x:c>
      <x:c r="H71" s="201" t="n">
        <x:v>0</x:v>
      </x:c>
      <x:c r="I71" s="200" t="str">
        <x:v>Ахилл</x:v>
      </x:c>
    </x:row>
    <x:row r="72" ht="40" customHeight="1">
      <x:c r="A72" s="184" t="str">
        <x:v>Кинжал</x:v>
      </x:c>
      <x:c r="B72" s="184" t="str">
        <x:v>Mystical</x:v>
      </x:c>
      <x:c r="C72" s="184" t="n">
        <x:v>0</x:v>
      </x:c>
      <x:c r="D72" s="184" t="n">
        <x:v>0</x:v>
      </x:c>
      <x:c r="E72" s="201" t="n">
        <x:v>0</x:v>
      </x:c>
      <x:c r="F72" s="201" t="n">
        <x:v>0.15</x:v>
      </x:c>
      <x:c r="G72" s="201" t="n">
        <x:v>0.3</x:v>
      </x:c>
      <x:c r="H72" s="201" t="n">
        <x:v>0</x:v>
      </x:c>
      <x:c r="I72" s="199" t="str">
        <x:v>Ахилл</x:v>
      </x:c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6" customHeight="1">
      <x:c r="A74" s="32" t="str">
        <x:v>Критический удар удваивает обычный удар. Частота атак: базовая × (1 + бонус). Плоский бонус урона действует на обычные атаки.</x:v>
      </x:c>
      <x:c r="B74" s="2"/>
      <x:c r="C74" s="2"/>
      <x:c r="D74" s="2"/>
      <x:c r="E74" s="2"/>
      <x:c r="F74" s="2"/>
      <x:c r="G74" s="2"/>
      <x:c r="H74" s="2"/>
      <x:c r="I74" s="2"/>
    </x:row>
    <x:row r="75" ht="26" customHeight="1">
      <x:c r="A75" s="32" t="str">
        <x:v>Кольчуга: в столбце скорости указан Ахилл (полный набор −20%). Для Цирцеи полный набор даёт суммарно −75%.</x:v>
      </x:c>
      <x:c r="B75" s="2"/>
      <x:c r="C75" s="2"/>
      <x:c r="D75" s="2"/>
      <x:c r="E75" s="2"/>
      <x:c r="F75" s="2"/>
      <x:c r="G75" s="2"/>
      <x:c r="H75" s="2"/>
      <x:c r="I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30" customHeight="1">
      <x:c r="A78" s="171" t="str">
        <x:v>Параметры Common-комплекта и расчёта</x:v>
      </x:c>
      <x:c r="B78" s="171"/>
      <x:c r="C78" s="171"/>
      <x:c r="D78" s="171"/>
      <x:c r="E78" s="171"/>
      <x:c r="F78" s="171"/>
      <x:c r="G78" s="171"/>
      <x:c r="H78" s="171"/>
      <x:c r="I78" s="171"/>
    </x:row>
    <x:row r="79" ht="46" customHeight="1">
      <x:c r="A79" s="180" t="str">
        <x:v>Материал</x:v>
      </x:c>
      <x:c r="B79" s="181" t="str">
        <x:v>Физ. броня</x:v>
      </x:c>
      <x:c r="C79" s="181" t="str">
        <x:v>Уклонение</x:v>
      </x:c>
      <x:c r="D79" s="181" t="str">
        <x:v>Мана +</x:v>
      </x:c>
      <x:c r="E79" s="181" t="str">
        <x:v>Мана / с +</x:v>
      </x:c>
      <x:c r="F79" s="182" t="str">
        <x:v>Замедление</x:v>
      </x:c>
      <x:c r="G79" s="2"/>
      <x:c r="H79" s="2"/>
      <x:c r="I79" s="2"/>
    </x:row>
    <x:row r="80" ht="32" customHeight="1">
      <x:c r="A80" s="184" t="str">
        <x:v>Кольчуга</x:v>
      </x:c>
      <x:c r="B80" s="201" t="n">
        <x:v>0.3</x:v>
      </x:c>
      <x:c r="C80" s="201" t="n">
        <x:v>0</x:v>
      </x:c>
      <x:c r="D80" s="185" t="n">
        <x:v>0</x:v>
      </x:c>
      <x:c r="E80" s="202" t="n">
        <x:v>0</x:v>
      </x:c>
      <x:c r="F80" s="201" t="n">
        <x:v>0.2</x:v>
      </x:c>
      <x:c r="G80" s="2"/>
      <x:c r="H80" s="2"/>
      <x:c r="I80" s="2"/>
    </x:row>
    <x:row r="81" ht="32" customHeight="1">
      <x:c r="A81" s="187" t="str">
        <x:v>Кожа</x:v>
      </x:c>
      <x:c r="B81" s="201" t="n">
        <x:v>0.12</x:v>
      </x:c>
      <x:c r="C81" s="201" t="n">
        <x:v>0.08</x:v>
      </x:c>
      <x:c r="D81" s="185" t="n">
        <x:v>0</x:v>
      </x:c>
      <x:c r="E81" s="202" t="n">
        <x:v>0</x:v>
      </x:c>
      <x:c r="F81" s="201" t="n">
        <x:v>0</x:v>
      </x:c>
      <x:c r="G81" s="2"/>
      <x:c r="H81" s="2"/>
      <x:c r="I81" s="2"/>
    </x:row>
    <x:row r="82" ht="32" customHeight="1">
      <x:c r="A82" s="184" t="str">
        <x:v>Шёлк</x:v>
      </x:c>
      <x:c r="B82" s="201" t="n">
        <x:v>0.06</x:v>
      </x:c>
      <x:c r="C82" s="201" t="n">
        <x:v>0</x:v>
      </x:c>
      <x:c r="D82" s="185" t="n">
        <x:v>30</x:v>
      </x:c>
      <x:c r="E82" s="202" t="n">
        <x:v>0.3</x:v>
      </x:c>
      <x:c r="F82" s="201" t="n">
        <x:v>0</x:v>
      </x:c>
      <x:c r="G82" s="2"/>
      <x:c r="H82" s="2"/>
      <x:c r="I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46" customHeight="1">
      <x:c r="A85" s="180" t="str">
        <x:v>Часть</x:v>
      </x:c>
      <x:c r="B85" s="182" t="str">
        <x:v>Доля комплекта</x:v>
      </x:c>
      <x:c r="C85" s="2"/>
      <x:c r="D85" s="203" t="str">
        <x:v>Редкость</x:v>
      </x:c>
      <x:c r="E85" s="203" t="str">
        <x:v>Множитель</x:v>
      </x:c>
      <x:c r="F85" s="2"/>
      <x:c r="G85" s="203" t="str">
        <x:v>Свойство</x:v>
      </x:c>
      <x:c r="H85" s="203" t="str">
        <x:v>Значение</x:v>
      </x:c>
      <x:c r="I85" s="203" t="str">
        <x:v>Единица</x:v>
      </x:c>
    </x:row>
    <x:row r="86" ht="32" customHeight="1">
      <x:c r="A86" s="184" t="str">
        <x:v>Шлем</x:v>
      </x:c>
      <x:c r="B86" s="206" t="n">
        <x:v>0.15</x:v>
      </x:c>
      <x:c r="C86" s="2"/>
      <x:c r="D86" s="2" t="str">
        <x:v>Common</x:v>
      </x:c>
      <x:c r="E86" s="205" t="n">
        <x:v>1</x:v>
      </x:c>
      <x:c r="F86" s="2"/>
      <x:c r="G86" s="2" t="str">
        <x:v>Радиус сплэша</x:v>
      </x:c>
      <x:c r="H86" s="204" t="n">
        <x:v>30</x:v>
      </x:c>
      <x:c r="I86" s="2" t="str">
        <x:v>ед.</x:v>
      </x:c>
    </x:row>
    <x:row r="87" ht="32" customHeight="1">
      <x:c r="A87" s="187" t="str">
        <x:v>Броня</x:v>
      </x:c>
      <x:c r="B87" s="206" t="n">
        <x:v>0.35</x:v>
      </x:c>
      <x:c r="C87" s="2"/>
      <x:c r="D87" s="2" t="str">
        <x:v>Rare</x:v>
      </x:c>
      <x:c r="E87" s="205" t="n">
        <x:v>1.5</x:v>
      </x:c>
      <x:c r="F87" s="2"/>
      <x:c r="G87" s="2" t="str">
        <x:v>Урон крита</x:v>
      </x:c>
      <x:c r="H87" s="204" t="n">
        <x:v>2</x:v>
      </x:c>
      <x:c r="I87" s="2" t="str">
        <x:v>множитель</x:v>
      </x:c>
    </x:row>
    <x:row r="88" ht="32" customHeight="1">
      <x:c r="A88" s="184" t="str">
        <x:v>Перчатки</x:v>
      </x:c>
      <x:c r="B88" s="206" t="n">
        <x:v>0.1</x:v>
      </x:c>
      <x:c r="C88" s="2"/>
      <x:c r="D88" s="2" t="str">
        <x:v>Mystical</x:v>
      </x:c>
      <x:c r="E88" s="205" t="n">
        <x:v>2</x:v>
      </x:c>
      <x:c r="F88" s="2"/>
      <x:c r="G88" s="2"/>
      <x:c r="H88" s="2"/>
      <x:c r="I88" s="2"/>
    </x:row>
    <x:row r="89" ht="32" customHeight="1">
      <x:c r="A89" s="187" t="str">
        <x:v>Пояс</x:v>
      </x:c>
      <x:c r="B89" s="206" t="n">
        <x:v>0.05</x:v>
      </x:c>
      <x:c r="C89" s="2"/>
      <x:c r="D89" s="2"/>
      <x:c r="E89" s="2"/>
      <x:c r="F89" s="2"/>
      <x:c r="G89" s="2"/>
      <x:c r="H89" s="2"/>
      <x:c r="I89" s="2"/>
    </x:row>
    <x:row r="90" ht="32" customHeight="1">
      <x:c r="A90" s="184" t="str">
        <x:v>Штаны</x:v>
      </x:c>
      <x:c r="B90" s="206" t="n">
        <x:v>0.2</x:v>
      </x:c>
      <x:c r="C90" s="2"/>
      <x:c r="D90" s="2"/>
      <x:c r="E90" s="2"/>
      <x:c r="F90" s="2"/>
      <x:c r="G90" s="2"/>
      <x:c r="H90" s="2"/>
      <x:c r="I90" s="2"/>
    </x:row>
    <x:row r="91" ht="32" customHeight="1">
      <x:c r="A91" s="187" t="str">
        <x:v>Сапоги</x:v>
      </x:c>
      <x:c r="B91" s="206" t="n">
        <x:v>0.15</x:v>
      </x:c>
      <x:c r="C91" s="2"/>
      <x:c r="D91" s="2"/>
      <x:c r="E91" s="2"/>
      <x:c r="F91" s="2"/>
      <x:c r="G91" s="2"/>
      <x:c r="H91" s="2"/>
      <x:c r="I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</x:row>
    <x:row r="94" ht="30" customHeight="1">
      <x:c r="A94" s="171" t="str">
        <x:v>Цирцея: штрафы неподходящего снаряжения</x:v>
      </x:c>
      <x:c r="B94" s="171"/>
      <x:c r="C94" s="171"/>
      <x:c r="D94" s="171"/>
      <x:c r="E94" s="171"/>
      <x:c r="F94" s="171"/>
      <x:c r="G94" s="171"/>
      <x:c r="H94" s="171"/>
      <x:c r="I94" s="171"/>
    </x:row>
    <x:row r="95" ht="46" customHeight="1">
      <x:c r="A95" s="180" t="str">
        <x:v>Параметр</x:v>
      </x:c>
      <x:c r="B95" s="181" t="str">
        <x:v>Значение</x:v>
      </x:c>
      <x:c r="C95" s="182" t="str">
        <x:v>Единица</x:v>
      </x:c>
      <x:c r="D95" s="2"/>
      <x:c r="E95" s="212" t="str">
        <x:v>Полная кольчуга + меч</x:v>
      </x:c>
      <x:c r="F95" s="212"/>
      <x:c r="G95" s="212"/>
      <x:c r="H95" s="212"/>
      <x:c r="I95" s="212"/>
    </x:row>
    <x:row r="96" ht="43" customHeight="1">
      <x:c r="A96" s="199" t="str">
        <x:v>Меч: магический урон</x:v>
      </x:c>
      <x:c r="B96" s="211" t="n">
        <x:v>0.5</x:v>
      </x:c>
      <x:c r="C96" s="199" t="str">
        <x:v>множитель</x:v>
      </x:c>
      <x:c r="D96" s="2"/>
      <x:c r="E96" s="115" t="str">
        <x:v>Магический урон</x:v>
      </x:c>
      <x:c r="F96" s="214" t="n">
        <x:f>$B$96</x:f>
        <x:v>0.5</x:v>
      </x:c>
      <x:c r="G96" s="2"/>
      <x:c r="H96" s="2"/>
      <x:c r="I96" s="2"/>
    </x:row>
    <x:row r="97" ht="43" customHeight="1">
      <x:c r="A97" s="200" t="str">
        <x:v>Кольчуга: −скорость</x:v>
      </x:c>
      <x:c r="B97" s="211" t="n">
        <x:v>0.75</x:v>
      </x:c>
      <x:c r="C97" s="200" t="str">
        <x:v>полный набор</x:v>
      </x:c>
      <x:c r="D97" s="2"/>
      <x:c r="E97" s="115" t="str">
        <x:v>Базовый реген</x:v>
      </x:c>
      <x:c r="F97" s="214" t="n">
        <x:f>1-$B$98</x:f>
        <x:v>0.25</x:v>
      </x:c>
      <x:c r="G97" s="2"/>
      <x:c r="H97" s="2"/>
      <x:c r="I97" s="2"/>
    </x:row>
    <x:row r="98" ht="43" customHeight="1">
      <x:c r="A98" s="199" t="str">
        <x:v>Кольчуга: −баз. реген</x:v>
      </x:c>
      <x:c r="B98" s="211" t="n">
        <x:v>0.75</x:v>
      </x:c>
      <x:c r="C98" s="199" t="str">
        <x:v>полный набор</x:v>
      </x:c>
      <x:c r="D98" s="2"/>
      <x:c r="E98" s="115" t="str">
        <x:v>Скорость</x:v>
      </x:c>
      <x:c r="F98" s="214" t="n">
        <x:f>1-$B$97</x:f>
        <x:v>0.25</x:v>
      </x:c>
      <x:c r="G98" s="2"/>
      <x:c r="H98" s="2"/>
      <x:c r="I98" s="2"/>
    </x:row>
    <x:row r="99" ht="43" customHeight="1">
      <x:c r="A99" s="200" t="str">
        <x:v>Предел физ. брони</x:v>
      </x:c>
      <x:c r="B99" s="211" t="n">
        <x:v>0.8</x:v>
      </x:c>
      <x:c r="C99" s="200" t="str">
        <x:v>доля</x:v>
      </x:c>
      <x:c r="D99" s="2"/>
      <x:c r="E99" s="2"/>
      <x:c r="F99" s="2"/>
      <x:c r="G99" s="2"/>
      <x:c r="H99" s="2"/>
      <x:c r="I99" s="2"/>
    </x:row>
    <x:row r="100" ht="43" customHeight="1">
      <x:c r="A100" s="199" t="str">
        <x:v>Предел уклонения</x:v>
      </x:c>
      <x:c r="B100" s="211" t="n">
        <x:v>0.6</x:v>
      </x:c>
      <x:c r="C100" s="199" t="str">
        <x:v>доля</x:v>
      </x:c>
      <x:c r="D100" s="2"/>
      <x:c r="E100" s="2"/>
      <x:c r="F100" s="2"/>
      <x:c r="G100" s="2"/>
      <x:c r="H100" s="2"/>
      <x:c r="I100" s="2"/>
    </x:row>
    <x:row r="101" ht="43" customHeight="1">
      <x:c r="A101" s="200" t="str">
        <x:v>Предел снижения маны</x:v>
      </x:c>
      <x:c r="B101" s="211" t="n">
        <x:v>0.5</x:v>
      </x:c>
      <x:c r="C101" s="200" t="str">
        <x:v>доля</x:v>
      </x:c>
      <x:c r="D101" s="2"/>
      <x:c r="E101" s="2"/>
      <x:c r="F101" s="2"/>
      <x:c r="G101" s="2"/>
      <x:c r="H101" s="2"/>
      <x:c r="I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 ht="26" customHeight="1">
      <x:c r="A104" s="32" t="str">
        <x:v>Цирцея: мана/с = базовая × (1 − 75% × доля кольчуги) + бонус вещей. Кольчуга не снижает магический урон; меч снижает на 50%.</x:v>
      </x:c>
      <x:c r="B104" s="2"/>
      <x:c r="C104" s="2"/>
      <x:c r="D104" s="2"/>
      <x:c r="E104" s="2"/>
      <x:c r="F104" s="2"/>
      <x:c r="G104" s="2"/>
      <x:c r="H104" s="2"/>
      <x:c r="I104" s="2"/>
    </x:row>
    <x:row r="105" ht="26" customHeight="1">
      <x:c r="A105" s="32" t="str">
        <x:v>Броня и уклонение складываются до пределов. У Ахилла базовые 25% входят в общий предел уклонения 60%.</x:v>
      </x:c>
      <x:c r="B105" s="2"/>
      <x:c r="C105" s="2"/>
      <x:c r="D105" s="2"/>
      <x:c r="E105" s="2"/>
      <x:c r="F105" s="2"/>
      <x:c r="G105" s="2"/>
      <x:c r="H105" s="2"/>
      <x:c r="I105" s="2"/>
    </x:row>
    <x:row r="106" ht="26" customHeight="1">
      <x:c r="A106" s="32" t="str">
        <x:v>Сохранённая броня обновляется до этих параметров. ID, редкость и надетые слоты сохраняются; повторный вход не меняет бонусы снова.</x:v>
      </x:c>
      <x:c r="B106" s="2"/>
      <x:c r="C106" s="2"/>
      <x:c r="D106" s="2"/>
      <x:c r="E106" s="2"/>
      <x:c r="F106" s="2"/>
      <x:c r="G106" s="2"/>
      <x:c r="H106" s="2"/>
      <x:c r="I106" s="2"/>
    </x:row>
    <x:row r="107" ht="26" customHeight="1">
      <x:c r="A107" s="32" t="str">
        <x:v>Источник: уточнения пользователя для 0.6.1. Веса частей и положительные бонусы брони остаются параметрами для баланса.</x:v>
      </x:c>
      <x:c r="B107" s="2"/>
      <x:c r="C107" s="2"/>
      <x:c r="D107" s="2"/>
      <x:c r="E107" s="2"/>
      <x:c r="F107" s="2"/>
      <x:c r="G107" s="2"/>
      <x:c r="H107" s="2"/>
      <x:c r="I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14F4A"/>
  </x:sheetPr>
  <x:sheetViews>
    <x:sheetView showGridLines="0" workbookViewId="0"/>
  </x:sheetViews>
  <x:sheetFormatPr defaultRowHeight="15"/>
  <x:cols>
    <x:col min="1" max="1" width="15.630000114440918" hidden="0" customWidth="1"/>
    <x:col min="2" max="2" width="25" hidden="0" customWidth="1"/>
    <x:col min="3" max="3" width="12.5" hidden="0" customWidth="1"/>
    <x:col min="4" max="4" width="11.880000114440918" hidden="0" customWidth="1"/>
    <x:col min="5" max="5" width="12.5" hidden="0" customWidth="1"/>
    <x:col min="6" max="6" width="13.75" hidden="0" customWidth="1"/>
    <x:col min="7" max="7" width="13.130000114440918" hidden="0" customWidth="1"/>
    <x:col min="8" max="8" width="55" hidden="0" customWidth="1"/>
  </x:cols>
  <x:sheetData>
    <x:row r="1" ht="36" customHeight="1">
      <x:c r="A1" s="3" t="str">
        <x:v>Активные навыки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32" t="str">
        <x:v>Умения запускаются вручную. Значения ниже — без бонусов экипировки, ярости и сопротивлений цели.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80" t="str">
        <x:v>Герой</x:v>
      </x:c>
      <x:c r="B5" s="181" t="str">
        <x:v>Навык</x:v>
      </x:c>
      <x:c r="C5" s="181" t="str">
        <x:v>Урон / цель</x:v>
      </x:c>
      <x:c r="D5" s="181" t="str">
        <x:v>Снарядов</x:v>
      </x:c>
      <x:c r="E5" s="181" t="str">
        <x:v>Мана</x:v>
      </x:c>
      <x:c r="F5" s="181" t="str">
        <x:v>Откат, с</x:v>
      </x:c>
      <x:c r="G5" s="181" t="str">
        <x:v>Действие, с</x:v>
      </x:c>
      <x:c r="H5" s="182" t="str">
        <x:v>Эффект</x:v>
      </x:c>
    </x:row>
    <x:row r="6" ht="68" customHeight="1">
      <x:c r="A6" s="199" t="str">
        <x:v>Цирцея</x:v>
      </x:c>
      <x:c r="B6" s="199" t="str">
        <x:v>Священные олени</x:v>
      </x:c>
      <x:c r="C6" s="162" t="n">
        <x:v>10</x:v>
      </x:c>
      <x:c r="D6" s="25" t="n">
        <x:v>2</x:v>
      </x:c>
      <x:c r="E6" s="25" t="n">
        <x:v>100</x:v>
      </x:c>
      <x:c r="F6" s="25" t="n">
        <x:v>300</x:v>
      </x:c>
      <x:c r="G6" s="162" t="n">
        <x:v>17.142857142857</x:v>
      </x:c>
      <x:c r="H6" s="199" t="str">
        <x:v>От замка по всей дороге к входу за 17,143 с. Каждый олень: 10 урона один раз, отталкивание 12 ед. и замедление 50% на 3 с.</x:v>
      </x:c>
    </x:row>
    <x:row r="7" ht="68" customHeight="1">
      <x:c r="A7" s="200" t="str">
        <x:v>Цирцея</x:v>
      </x:c>
      <x:c r="B7" s="200" t="str">
        <x:v>Гроза</x:v>
      </x:c>
      <x:c r="C7" s="162" t="n">
        <x:v>10</x:v>
      </x:c>
      <x:c r="D7" s="25" t="n">
        <x:v>1</x:v>
      </x:c>
      <x:c r="E7" s="25" t="n">
        <x:v>100</x:v>
      </x:c>
      <x:c r="F7" s="25" t="n">
        <x:v>300</x:v>
      </x:c>
      <x:c r="G7" s="25" t="n">
        <x:v>3</x:v>
      </x:c>
      <x:c r="H7" s="200" t="str">
        <x:v>Всего 10 магического урона за 3 с: 4 удара по 2,5 каждые 0,75 с. Цели фиксируются при нажатии.</x:v>
      </x:c>
    </x:row>
    <x:row r="8" ht="68" customHeight="1">
      <x:c r="A8" s="199" t="str">
        <x:v>Ахилл</x:v>
      </x:c>
      <x:c r="B8" s="199" t="str">
        <x:v>Божественное копьё</x:v>
      </x:c>
      <x:c r="C8" s="162" t="n">
        <x:v>15</x:v>
      </x:c>
      <x:c r="D8" s="25" t="n">
        <x:v>1</x:v>
      </x:c>
      <x:c r="E8" s="25" t="n">
        <x:v>100</x:v>
      </x:c>
      <x:c r="F8" s="25" t="n">
        <x:v>300</x:v>
      </x:c>
      <x:c r="G8" s="25" t="n">
        <x:v>0</x:v>
      </x:c>
      <x:c r="H8" s="199" t="str">
        <x:v>Физический урон вокруг выбранной точки и отбрасывание по недавнему пути врага.</x:v>
      </x:c>
    </x:row>
    <x:row r="9" ht="68" customHeight="1">
      <x:c r="A9" s="200" t="str">
        <x:v>Ахилл</x:v>
      </x:c>
      <x:c r="B9" s="200" t="str">
        <x:v>Стрела Ахилла</x:v>
      </x:c>
      <x:c r="C9" s="162" t="n">
        <x:v>10</x:v>
      </x:c>
      <x:c r="D9" s="25" t="n">
        <x:v>1</x:v>
      </x:c>
      <x:c r="E9" s="25" t="n">
        <x:v>100</x:v>
      </x:c>
      <x:c r="F9" s="25" t="n">
        <x:v>480</x:v>
      </x:c>
      <x:c r="G9" s="162" t="n">
        <x:f>B37</x:f>
        <x:v>0.9285714285714287</x:v>
      </x:c>
      <x:c r="H9" s="200" t="str">
        <x:v>Темп 70%: выпуск через 1,686 с, попадание через 2,614 с от нажатия. В G — полёт после выпуска. Замедление 50% на 5 с.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6" customHeight="1">
      <x:c r="A11" s="32" t="str">
        <x:v>Олени: урон каждого за один контакт. Гроза: суммарно за 4 удара. Стрела Ахилла: исходный список целей.</x:v>
      </x:c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30" customHeight="1">
      <x:c r="A13" s="171" t="str">
        <x:v>Параметры эффектов</x:v>
      </x:c>
      <x:c r="B13" s="171"/>
      <x:c r="C13" s="171"/>
      <x:c r="D13" s="171"/>
      <x:c r="E13" s="171"/>
      <x:c r="F13" s="171"/>
      <x:c r="G13" s="171"/>
      <x:c r="H13" s="171"/>
    </x:row>
    <x:row r="14" ht="46" customHeight="1">
      <x:c r="A14" s="180" t="str">
        <x:v>Параметр</x:v>
      </x:c>
      <x:c r="B14" s="181" t="str">
        <x:v>Значение</x:v>
      </x:c>
      <x:c r="C14" s="182" t="str">
        <x:v>Единица</x:v>
      </x:c>
      <x:c r="D14" s="2"/>
      <x:c r="E14" s="203" t="str">
        <x:v>Посох</x:v>
      </x:c>
      <x:c r="F14" s="203" t="str">
        <x:v>Цена навыка</x:v>
      </x:c>
      <x:c r="G14" s="203" t="str">
        <x:v>Экономия маны</x:v>
      </x:c>
      <x:c r="H14" s="203" t="str">
        <x:v>Редкость</x:v>
      </x:c>
    </x:row>
    <x:row r="15" ht="42" customHeight="1">
      <x:c r="A15" s="199" t="str">
        <x:v>Олени: замедление</x:v>
      </x:c>
      <x:c r="B15" s="206" t="n">
        <x:v>0.5</x:v>
      </x:c>
      <x:c r="C15" s="184" t="str">
        <x:v>доля</x:v>
      </x:c>
      <x:c r="D15" s="2"/>
      <x:c r="E15" s="2" t="str">
        <x:v>Оба героя</x:v>
      </x:c>
      <x:c r="F15" s="242" t="n">
        <x:f>$E$6*(1-'Экипировка'!H67)</x:f>
        <x:v>90</x:v>
      </x:c>
      <x:c r="G15" s="242" t="n">
        <x:f>$E$6-F15</x:f>
        <x:v>10</x:v>
      </x:c>
      <x:c r="H15" s="2" t="str">
        <x:v>Common</x:v>
      </x:c>
    </x:row>
    <x:row r="16" ht="42" customHeight="1">
      <x:c r="A16" s="200" t="str">
        <x:v>Замедление оленей</x:v>
      </x:c>
      <x:c r="B16" s="185" t="n">
        <x:v>3</x:v>
      </x:c>
      <x:c r="C16" s="187" t="str">
        <x:v>с</x:v>
      </x:c>
      <x:c r="D16" s="2"/>
      <x:c r="E16" s="2" t="str">
        <x:v>Оба героя</x:v>
      </x:c>
      <x:c r="F16" s="242" t="n">
        <x:f>$E$6*(1-'Экипировка'!H68)</x:f>
        <x:v>85</x:v>
      </x:c>
      <x:c r="G16" s="242" t="n">
        <x:f>$E$6-F16</x:f>
        <x:v>15</x:v>
      </x:c>
      <x:c r="H16" s="2" t="str">
        <x:v>Rare</x:v>
      </x:c>
    </x:row>
    <x:row r="17" ht="42" customHeight="1">
      <x:c r="A17" s="199" t="str">
        <x:v>Копьё: радиус</x:v>
      </x:c>
      <x:c r="B17" s="185" t="n">
        <x:v>80</x:v>
      </x:c>
      <x:c r="C17" s="184" t="str">
        <x:v>ед.</x:v>
      </x:c>
      <x:c r="D17" s="2"/>
      <x:c r="E17" s="2" t="str">
        <x:v>Оба героя</x:v>
      </x:c>
      <x:c r="F17" s="242" t="n">
        <x:f>$E$6*(1-'Экипировка'!H69)</x:f>
        <x:v>80</x:v>
      </x:c>
      <x:c r="G17" s="242" t="n">
        <x:f>$E$6-F17</x:f>
        <x:v>20</x:v>
      </x:c>
      <x:c r="H17" s="2" t="str">
        <x:v>Mystical</x:v>
      </x:c>
    </x:row>
    <x:row r="18" ht="42" customHeight="1">
      <x:c r="A18" s="200" t="str">
        <x:v>Копьё: история пути</x:v>
      </x:c>
      <x:c r="B18" s="185" t="n">
        <x:v>2</x:v>
      </x:c>
      <x:c r="C18" s="187" t="str">
        <x:v>с</x:v>
      </x:c>
      <x:c r="D18" s="2"/>
      <x:c r="E18" s="2"/>
      <x:c r="F18" s="2"/>
      <x:c r="G18" s="2"/>
      <x:c r="H18" s="2"/>
    </x:row>
    <x:row r="19" ht="42" customHeight="1">
      <x:c r="A19" s="199" t="str">
        <x:v>Копьё: доля отката</x:v>
      </x:c>
      <x:c r="B19" s="206" t="n">
        <x:v>0.5</x:v>
      </x:c>
      <x:c r="C19" s="184" t="str">
        <x:v>доля</x:v>
      </x:c>
      <x:c r="D19" s="2"/>
      <x:c r="E19" s="2"/>
      <x:c r="F19" s="2"/>
      <x:c r="G19" s="2"/>
      <x:c r="H19" s="2"/>
    </x:row>
    <x:row r="20" ht="42" customHeight="1">
      <x:c r="A20" s="200" t="str">
        <x:v>Стрела: замедление</x:v>
      </x:c>
      <x:c r="B20" s="206" t="n">
        <x:v>0.5</x:v>
      </x:c>
      <x:c r="C20" s="187" t="str">
        <x:v>доля</x:v>
      </x:c>
      <x:c r="D20" s="2"/>
      <x:c r="E20" s="2"/>
      <x:c r="F20" s="2"/>
      <x:c r="G20" s="2"/>
      <x:c r="H20" s="2"/>
    </x:row>
    <x:row r="21" ht="42" customHeight="1">
      <x:c r="A21" s="199" t="str">
        <x:v>Стрела: длительность</x:v>
      </x:c>
      <x:c r="B21" s="185" t="n">
        <x:v>5</x:v>
      </x:c>
      <x:c r="C21" s="184" t="str">
        <x:v>с</x:v>
      </x:c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6" customHeight="1">
      <x:c r="A24" s="32" t="str">
        <x:v>Посох снижает стоимость навыков обоих героев; бонус обычного урона даёт только Цирцее. Тип атаки героя сохраняется.</x:v>
      </x:c>
      <x:c r="B24" s="2"/>
      <x:c r="C24" s="2"/>
      <x:c r="D24" s="2"/>
      <x:c r="E24" s="2"/>
      <x:c r="F24" s="2"/>
      <x:c r="G24" s="2"/>
      <x:c r="H24" s="2"/>
    </x:row>
    <x:row r="25" ht="26" customHeight="1">
      <x:c r="A25" s="32" t="str">
        <x:v>Ярость усиливает весь урон. Меч снижает магический урон Цирцеи на 50%; кольчуга не уменьшает урон.</x:v>
      </x:c>
      <x:c r="B25" s="2"/>
      <x:c r="C25" s="2"/>
      <x:c r="D25" s="2"/>
      <x:c r="E25" s="2"/>
      <x:c r="F25" s="2"/>
      <x:c r="G25" s="2"/>
      <x:c r="H25" s="2"/>
    </x:row>
    <x:row r="26" ht="26" customHeight="1">
      <x:c r="A26" s="32" t="str">
        <x:v>Финальный босс невосприимчив к магии и контролю. Физический урон активных навыков Ахилла проходит.</x:v>
      </x:c>
      <x:c r="B26" s="2"/>
      <x:c r="C26" s="2"/>
      <x:c r="D26" s="2"/>
      <x:c r="E26" s="2"/>
      <x:c r="F26" s="2"/>
      <x:c r="G26" s="2"/>
      <x:c r="H26" s="2"/>
    </x:row>
    <x:row r="27" ht="26" customHeight="1">
      <x:c r="A27" s="32" t="str">
        <x:v>Пауза останавливает ману, таймеры и эффекты. После завершения боя новые действия недоступны.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32" t="str">
        <x:v>Источник: правила 0.8.1, balance.json и события AnimationPack. Числа таблицы не записываются в игру.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7" customHeight="1">
      <x:c r="A31" s="281" t="str">
        <x:v>Параметры 0.8.1</x:v>
      </x:c>
      <x:c r="B31" s="282" t="str">
        <x:v>Значение</x:v>
      </x:c>
      <x:c r="C31" s="281" t="str">
        <x:v>Единица</x:v>
      </x:c>
      <x:c r="D31" s="2"/>
      <x:c r="E31" s="2"/>
      <x:c r="F31" s="2"/>
      <x:c r="G31" s="2"/>
      <x:c r="H31" s="2"/>
    </x:row>
    <x:row r="32" ht="40" customHeight="1">
      <x:c r="A32" s="279" t="str">
        <x:v>E Ахилла: скорость</x:v>
      </x:c>
      <x:c r="B32" s="280" t="n">
        <x:v>0.7</x:v>
      </x:c>
      <x:c r="C32" s="54" t="str">
        <x:v>×</x:v>
      </x:c>
      <x:c r="D32" s="2"/>
      <x:c r="E32" s="2"/>
      <x:c r="F32" s="2"/>
      <x:c r="G32" s="2"/>
      <x:c r="H32" s="2"/>
    </x:row>
    <x:row r="33" ht="40" customHeight="1">
      <x:c r="A33" s="279" t="str">
        <x:v>E: исходный полёт</x:v>
      </x:c>
      <x:c r="B33" s="280" t="n">
        <x:v>0.65</x:v>
      </x:c>
      <x:c r="C33" s="54" t="str">
        <x:v>с</x:v>
      </x:c>
      <x:c r="D33" s="2"/>
      <x:c r="E33" s="2"/>
      <x:c r="F33" s="2"/>
      <x:c r="G33" s="2"/>
      <x:c r="H33" s="2"/>
    </x:row>
    <x:row r="34" ht="40" customHeight="1">
      <x:c r="A34" s="279" t="str">
        <x:v>E: исходный выпуск</x:v>
      </x:c>
      <x:c r="B34" s="280" t="n">
        <x:v>1.18</x:v>
      </x:c>
      <x:c r="C34" s="54" t="str">
        <x:v>с</x:v>
      </x:c>
      <x:c r="D34" s="2"/>
      <x:c r="E34" s="2"/>
      <x:c r="F34" s="2"/>
      <x:c r="G34" s="2"/>
      <x:c r="H34" s="2"/>
    </x:row>
    <x:row r="35" ht="40" customHeight="1">
      <x:c r="A35" s="279" t="str">
        <x:v>E: исходный подъём</x:v>
      </x:c>
      <x:c r="B35" s="280" t="n">
        <x:v>0.45</x:v>
      </x:c>
      <x:c r="C35" s="54" t="str">
        <x:v>с</x:v>
      </x:c>
      <x:c r="D35" s="2"/>
      <x:c r="E35" s="2"/>
      <x:c r="F35" s="2"/>
      <x:c r="G35" s="2"/>
      <x:c r="H35" s="2"/>
    </x:row>
    <x:row r="36" ht="40" customHeight="1">
      <x:c r="A36" s="279" t="str">
        <x:v>E: подъём в игре</x:v>
      </x:c>
      <x:c r="B36" s="283" t="n">
        <x:f>B35/B32</x:f>
        <x:v>0.6428571428571429</x:v>
      </x:c>
      <x:c r="C36" s="54" t="str">
        <x:v>с</x:v>
      </x:c>
      <x:c r="D36" s="2"/>
      <x:c r="E36" s="2"/>
      <x:c r="F36" s="2"/>
      <x:c r="G36" s="2"/>
      <x:c r="H36" s="2"/>
    </x:row>
    <x:row r="37" ht="40" customHeight="1">
      <x:c r="A37" s="279" t="str">
        <x:v>E: полёт в игре</x:v>
      </x:c>
      <x:c r="B37" s="283" t="n">
        <x:f>B33/B32</x:f>
        <x:v>0.9285714285714287</x:v>
      </x:c>
      <x:c r="C37" s="54" t="str">
        <x:v>с</x:v>
      </x:c>
      <x:c r="D37" s="2"/>
      <x:c r="E37" s="2"/>
      <x:c r="F37" s="2"/>
      <x:c r="G37" s="2"/>
      <x:c r="H37" s="2"/>
    </x:row>
    <x:row r="38" ht="40" customHeight="1">
      <x:c r="A38" s="279" t="str">
        <x:v>E: до попадания</x:v>
      </x:c>
      <x:c r="B38" s="283" t="n">
        <x:f>(B34+B33)/B32</x:f>
        <x:v>2.6142857142857148</x:v>
      </x:c>
      <x:c r="C38" s="54" t="str">
        <x:v>с</x:v>
      </x:c>
      <x:c r="D38" s="2"/>
      <x:c r="E38" s="2"/>
      <x:c r="F38" s="2"/>
      <x:c r="G38" s="2"/>
      <x:c r="H38" s="2"/>
    </x:row>
    <x:row r="39" ht="40" customHeight="1">
      <x:c r="A39" s="279" t="str">
        <x:v>Олень: отталкивание</x:v>
      </x:c>
      <x:c r="B39" s="284" t="n">
        <x:v>12</x:v>
      </x:c>
      <x:c r="C39" s="54" t="str">
        <x:v>ед.</x:v>
      </x:c>
    </x:row>
    <x:row r="40" ht="40" customHeight="1">
      <x:c r="A40" s="279" t="str">
        <x:v>Гроза: ударов</x:v>
      </x:c>
      <x:c r="B40" s="284" t="n">
        <x:v>4</x:v>
      </x:c>
      <x:c r="C40" s="54" t="str">
        <x:v>шт.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14F4A"/>
  </x:sheetPr>
  <x:sheetViews>
    <x:sheetView showGridLines="0" workbookViewId="0"/>
  </x:sheetViews>
  <x:sheetFormatPr defaultRowHeight="15"/>
  <x:cols>
    <x:col min="1" max="1" width="28.1299991607666" hidden="0" customWidth="1"/>
    <x:col min="2" max="2" width="13.130000114440918" hidden="0" customWidth="1"/>
    <x:col min="3" max="3" width="17.5" hidden="0" customWidth="1"/>
    <x:col min="4" max="4" width="12.5" hidden="0" customWidth="1"/>
    <x:col min="5" max="5" width="49.380001068115234" hidden="0" customWidth="1"/>
    <x:col min="6" max="6" width="49.380001068115234" hidden="0" customWidth="1"/>
  </x:cols>
  <x:sheetData>
    <x:row r="1" ht="36" customHeight="1">
      <x:c r="A1" s="3" t="str">
        <x:v>Артефакты</x:v>
      </x:c>
      <x:c r="B1" s="2"/>
      <x:c r="C1" s="2"/>
      <x:c r="D1" s="2"/>
      <x:c r="E1" s="2"/>
      <x:c r="F1" s="2"/>
    </x:row>
    <x:row r="2" ht="24" customHeight="1">
      <x:c r="A2" s="4"/>
      <x:c r="B2" s="4"/>
      <x:c r="C2" s="4"/>
      <x:c r="D2" s="4"/>
      <x:c r="E2" s="4"/>
      <x:c r="F2" s="4"/>
    </x:row>
    <x:row r="3" ht="26" customHeight="1">
      <x:c r="A3" s="32" t="str">
        <x:v>Отдельный слот. Качества нет. Любой артефакт подходит обоим героям, но одна вещь принадлежит одному надетому слоту.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46" customHeight="1">
      <x:c r="A5" s="180" t="str">
        <x:v>Артефакт</x:v>
      </x:c>
      <x:c r="B5" s="181" t="str">
        <x:v>Шанс / победа</x:v>
      </x:c>
      <x:c r="C5" s="181" t="str">
        <x:v>Активация</x:v>
      </x:c>
      <x:c r="D5" s="181" t="str">
        <x:v>Эффект, с</x:v>
      </x:c>
      <x:c r="E5" s="181" t="str">
        <x:v>Эффект</x:v>
      </x:c>
      <x:c r="F5" s="182" t="str">
        <x:v>Ограничение</x:v>
      </x:c>
    </x:row>
    <x:row r="6" ht="90" customHeight="1">
      <x:c r="A6" s="199" t="str">
        <x:v>Aegis of Dawn</x:v>
      </x:c>
      <x:c r="B6" s="218" t="n">
        <x:f>'Добыча'!$B$9/COUNTA($A$6:$A$8)</x:f>
        <x:v>0.0003333333333333333</x:v>
      </x:c>
      <x:c r="C6" s="199" t="str">
        <x:v>После смерти</x:v>
      </x:c>
      <x:c r="D6" s="219"/>
      <x:c r="E6" s="199" t="str">
        <x:v>Возрождение через 3 секунды.</x:v>
      </x:c>
      <x:c r="F6" s="199" t="str">
        <x:v>Работает, пока надет. Не даёт бессмертия.</x:v>
      </x:c>
    </x:row>
    <x:row r="7" ht="90" customHeight="1">
      <x:c r="A7" s="200" t="str">
        <x:v>Ноготь Зевса</x:v>
      </x:c>
      <x:c r="B7" s="218" t="n">
        <x:f>'Добыча'!$B$9/COUNTA($A$6:$A$8)</x:f>
        <x:v>0.0003333333333333333</x:v>
      </x:c>
      <x:c r="C7" s="200" t="str">
        <x:v>1 раз за карту</x:v>
      </x:c>
      <x:c r="D7" s="219" t="n">
        <x:v>300</x:v>
      </x:c>
      <x:c r="E7" s="200" t="str">
        <x:v>Ярость: весь урон и частота атак ×2, входящий урон ÷2.</x:v>
      </x:c>
      <x:c r="F7" s="200" t="str">
        <x:v>Усиливает обычные атаки и способности.</x:v>
      </x:c>
    </x:row>
    <x:row r="8" ht="90" customHeight="1">
      <x:c r="A8" s="199" t="str">
        <x:v>Зеркало Афины</x:v>
      </x:c>
      <x:c r="B8" s="218" t="n">
        <x:f>'Добыча'!$B$9/COUNTA($A$6:$A$8)</x:f>
        <x:v>0.0003333333333333333</x:v>
      </x:c>
      <x:c r="C8" s="199" t="str">
        <x:v>1 раз за карту</x:v>
      </x:c>
      <x:c r="D8" s="219" t="n">
        <x:v>300</x:v>
      </x:c>
      <x:c r="E8" s="199" t="str">
        <x:v>Управляемая копия со своими HP, полной маной и откатами.</x:v>
      </x:c>
      <x:c r="F8" s="199" t="str">
        <x:v>Копия получает на 50% больше урона, не воскрешается и не использует артефакты.</x:v>
      </x:c>
    </x:row>
    <x:row r="9" ht="24" customHeight="1">
      <x:c r="A9" s="2"/>
      <x:c r="B9" s="2"/>
      <x:c r="C9" s="2"/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30" customHeight="1">
      <x:c r="A11" s="171" t="str">
        <x:v>Численные параметры</x:v>
      </x:c>
      <x:c r="B11" s="171"/>
      <x:c r="C11" s="171"/>
      <x:c r="D11" s="171"/>
      <x:c r="E11" s="171"/>
      <x:c r="F11" s="171"/>
    </x:row>
    <x:row r="12" ht="46" customHeight="1">
      <x:c r="A12" s="180" t="str">
        <x:v>Параметр</x:v>
      </x:c>
      <x:c r="B12" s="181" t="str">
        <x:v>Значение</x:v>
      </x:c>
      <x:c r="C12" s="182" t="str">
        <x:v>Единица</x:v>
      </x:c>
      <x:c r="D12" s="2"/>
      <x:c r="E12" s="2"/>
      <x:c r="F12" s="2"/>
    </x:row>
    <x:row r="13" ht="43" customHeight="1">
      <x:c r="A13" s="199" t="str">
        <x:v>Aegis: возрождение</x:v>
      </x:c>
      <x:c r="B13" s="25" t="n">
        <x:v>3</x:v>
      </x:c>
      <x:c r="C13" s="184" t="str">
        <x:v>с</x:v>
      </x:c>
      <x:c r="D13" s="2"/>
      <x:c r="E13" s="2"/>
      <x:c r="F13" s="2"/>
    </x:row>
    <x:row r="14" ht="43" customHeight="1">
      <x:c r="A14" s="200" t="str">
        <x:v>Ярость: весь урон</x:v>
      </x:c>
      <x:c r="B14" s="25" t="n">
        <x:v>2</x:v>
      </x:c>
      <x:c r="C14" s="187" t="str">
        <x:v>множитель</x:v>
      </x:c>
      <x:c r="D14" s="2"/>
      <x:c r="E14" s="2"/>
      <x:c r="F14" s="2"/>
    </x:row>
    <x:row r="15" ht="43" customHeight="1">
      <x:c r="A15" s="199" t="str">
        <x:v>Ярость: входящий урон</x:v>
      </x:c>
      <x:c r="B15" s="23" t="n">
        <x:v>0.5</x:v>
      </x:c>
      <x:c r="C15" s="184" t="str">
        <x:v>множитель</x:v>
      </x:c>
      <x:c r="D15" s="2"/>
      <x:c r="E15" s="2"/>
      <x:c r="F15" s="2"/>
    </x:row>
    <x:row r="16" ht="43" customHeight="1">
      <x:c r="A16" s="200" t="str">
        <x:v>Ярость: частота атак</x:v>
      </x:c>
      <x:c r="B16" s="25" t="n">
        <x:v>2</x:v>
      </x:c>
      <x:c r="C16" s="187" t="str">
        <x:v>множитель</x:v>
      </x:c>
      <x:c r="D16" s="2"/>
      <x:c r="E16" s="2"/>
      <x:c r="F16" s="2"/>
    </x:row>
    <x:row r="17" ht="43" customHeight="1">
      <x:c r="A17" s="199" t="str">
        <x:v>Копия: входящий урон</x:v>
      </x:c>
      <x:c r="B17" s="23" t="n">
        <x:v>1.5</x:v>
      </x:c>
      <x:c r="C17" s="184" t="str">
        <x:v>множитель</x:v>
      </x:c>
      <x:c r="D17" s="2"/>
      <x:c r="E17" s="2"/>
      <x:c r="F17" s="2"/>
    </x:row>
    <x:row r="18" ht="43" customHeight="1">
      <x:c r="A18" s="200" t="str">
        <x:v>Общая длительность</x:v>
      </x:c>
      <x:c r="B18" s="25" t="n">
        <x:v>300</x:v>
      </x:c>
      <x:c r="C18" s="187" t="str">
        <x:v>с</x:v>
      </x:c>
      <x:c r="D18" s="2"/>
      <x:c r="E18" s="2"/>
      <x:c r="F18" s="2"/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6" customHeight="1">
      <x:c r="A21" s="32" t="str">
        <x:v>Копия получает снимок экипировки в момент вызова. Максимум маны: базовые 100 плюс бонус предметов.</x:v>
      </x:c>
      <x:c r="B21" s="2"/>
      <x:c r="C21" s="2"/>
      <x:c r="D21" s="2"/>
      <x:c r="E21" s="2"/>
      <x:c r="F21" s="2"/>
    </x:row>
    <x:row r="22" ht="26" customHeight="1">
      <x:c r="A22" s="32" t="str">
        <x:v>Копия не переносит активную ярость и не создаёт новых копий. Повторный вызов зеркала в той же карте недоступен.</x:v>
      </x:c>
      <x:c r="B22" s="2"/>
      <x:c r="C22" s="2"/>
      <x:c r="D22" s="2"/>
      <x:c r="E22" s="2"/>
      <x:c r="F22" s="2"/>
    </x:row>
    <x:row r="23" ht="26" customHeight="1">
      <x:c r="A23" s="32" t="str">
        <x:v>Использование артефакта не удаляет его из инвентаря. Ограничение «раз за карту» относится к текущему бою.</x:v>
      </x:c>
      <x:c r="B23" s="2"/>
      <x:c r="C23" s="2"/>
      <x:c r="D23" s="2"/>
      <x:c r="E23" s="2"/>
      <x:c r="F23" s="2"/>
    </x:row>
    <x:row r="24" ht="26" customHeight="1">
      <x:c r="A24" s="32" t="str">
        <x:v>Длительность эффектов останавливается на паузе. Следующая карта снова позволяет применить артефакт.</x:v>
      </x:c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6" customHeight="1">
      <x:c r="A26" s="32" t="str">
        <x:v>Источник: уточнения пользователя для 0.6 и текущие параметры игры. Вероятности трёх типов одинаковы.</x:v>
      </x:c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</x:sheetData>
  <x:pageMargins left="0.7" right="0.7" top="0.75" bottom="0.75" header="0.3" footer="0.3"/>
</x:worksheet>
</file>